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horizons.sharepoint.com/sites/Trafficking-in-MA/Shared Documents/General/"/>
    </mc:Choice>
  </mc:AlternateContent>
  <xr:revisionPtr revIDLastSave="265" documentId="8_{91B383DB-E4C7-45B0-85F1-A595FF8A2D60}" xr6:coauthVersionLast="47" xr6:coauthVersionMax="47" xr10:uidLastSave="{DB96CCC4-8E1D-452B-A599-C7C960CC3CDC}"/>
  <bookViews>
    <workbookView xWindow="8496" yWindow="3408" windowWidth="18432" windowHeight="8580" xr2:uid="{9F561532-AA23-4A06-A8A8-F4C8FF39030C}"/>
  </bookViews>
  <sheets>
    <sheet name="Demand" sheetId="1" r:id="rId1"/>
    <sheet name="Supply" sheetId="2" r:id="rId2"/>
    <sheet name="TraffickingHotline24" sheetId="3" r:id="rId3"/>
    <sheet name="TraffickingHotline23" sheetId="4" r:id="rId4"/>
    <sheet name="TraffickingHotline2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8" i="5"/>
  <c r="H39" i="5"/>
  <c r="H40" i="5"/>
  <c r="H41" i="5"/>
  <c r="H43" i="5"/>
  <c r="H44" i="5"/>
  <c r="H45" i="5"/>
  <c r="H46" i="5"/>
  <c r="H47" i="5"/>
  <c r="H49" i="5"/>
  <c r="H50" i="5"/>
  <c r="H51" i="5"/>
  <c r="H52" i="5"/>
  <c r="H53" i="5"/>
  <c r="H54" i="5"/>
  <c r="H55" i="5"/>
  <c r="H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2" i="4"/>
  <c r="H3" i="4"/>
  <c r="H4" i="4"/>
  <c r="H5" i="4"/>
  <c r="H6" i="4"/>
  <c r="H7" i="4"/>
  <c r="H8" i="4"/>
  <c r="H9" i="4"/>
  <c r="H10" i="4"/>
  <c r="H11" i="4"/>
  <c r="H12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9" i="4"/>
  <c r="H40" i="4"/>
  <c r="H41" i="4"/>
  <c r="H42" i="4"/>
  <c r="H44" i="4"/>
  <c r="H45" i="4"/>
  <c r="H46" i="4"/>
  <c r="H47" i="4"/>
  <c r="H48" i="4"/>
  <c r="H50" i="4"/>
  <c r="H51" i="4"/>
  <c r="H52" i="4"/>
  <c r="H53" i="4"/>
  <c r="H54" i="4"/>
  <c r="H55" i="4"/>
  <c r="H56" i="4"/>
  <c r="H2" i="4"/>
  <c r="J1" i="4"/>
  <c r="I3" i="3"/>
  <c r="I4" i="3"/>
  <c r="I5" i="3"/>
  <c r="I6" i="3"/>
  <c r="I7" i="3"/>
  <c r="I8" i="3"/>
  <c r="I9" i="3"/>
  <c r="I10" i="3"/>
  <c r="I11" i="3"/>
  <c r="I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9" i="3"/>
  <c r="I40" i="3"/>
  <c r="I41" i="3"/>
  <c r="I42" i="3"/>
  <c r="I44" i="3"/>
  <c r="I45" i="3"/>
  <c r="I46" i="3"/>
  <c r="I47" i="3"/>
  <c r="I48" i="3"/>
  <c r="I50" i="3"/>
  <c r="I51" i="3"/>
  <c r="I52" i="3"/>
  <c r="I53" i="3"/>
  <c r="I54" i="3"/>
  <c r="I55" i="3"/>
  <c r="I5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2" i="3"/>
  <c r="B5" i="2"/>
  <c r="B1" i="2"/>
  <c r="B4" i="2"/>
  <c r="B6" i="2"/>
  <c r="B7" i="1"/>
  <c r="E3" i="1"/>
  <c r="E4" i="1"/>
  <c r="E5" i="1"/>
  <c r="B3" i="1" s="1"/>
  <c r="B4" i="1" s="1"/>
  <c r="B8" i="1" s="1"/>
  <c r="E2" i="1"/>
  <c r="J22" i="3" l="1"/>
  <c r="J21" i="3"/>
  <c r="J23" i="3"/>
  <c r="J3" i="3"/>
  <c r="M3" i="3" s="1"/>
  <c r="J5" i="3"/>
  <c r="M5" i="3" s="1"/>
  <c r="J19" i="3"/>
  <c r="J20" i="3"/>
  <c r="K20" i="3" s="1"/>
  <c r="J18" i="3"/>
  <c r="M18" i="3" s="1"/>
  <c r="J6" i="3"/>
  <c r="M6" i="3" s="1"/>
  <c r="J40" i="3"/>
  <c r="M40" i="3" s="1"/>
  <c r="J17" i="3"/>
  <c r="J16" i="3"/>
  <c r="M16" i="3" s="1"/>
  <c r="J39" i="3"/>
  <c r="M39" i="3" s="1"/>
  <c r="J15" i="3"/>
  <c r="M15" i="3" s="1"/>
  <c r="J7" i="3"/>
  <c r="M7" i="3" s="1"/>
  <c r="J14" i="3"/>
  <c r="M14" i="3" s="1"/>
  <c r="J12" i="3"/>
  <c r="J10" i="3"/>
  <c r="J9" i="3"/>
  <c r="M23" i="3"/>
  <c r="M22" i="3"/>
  <c r="M19" i="3"/>
  <c r="M12" i="3"/>
  <c r="K12" i="3"/>
  <c r="M21" i="3"/>
  <c r="M17" i="3"/>
  <c r="M10" i="3"/>
  <c r="M9" i="3"/>
  <c r="J54" i="3"/>
  <c r="J38" i="3"/>
  <c r="J8" i="3"/>
  <c r="J53" i="3"/>
  <c r="J37" i="3"/>
  <c r="J52" i="3"/>
  <c r="J36" i="3"/>
  <c r="J4" i="3"/>
  <c r="J51" i="3"/>
  <c r="J35" i="3"/>
  <c r="J50" i="3"/>
  <c r="J34" i="3"/>
  <c r="J27" i="3"/>
  <c r="J49" i="3"/>
  <c r="J33" i="3"/>
  <c r="J48" i="3"/>
  <c r="J32" i="3"/>
  <c r="J47" i="3"/>
  <c r="J31" i="3"/>
  <c r="J46" i="3"/>
  <c r="J30" i="3"/>
  <c r="J45" i="3"/>
  <c r="J29" i="3"/>
  <c r="J13" i="3"/>
  <c r="K22" i="3" s="1"/>
  <c r="J44" i="3"/>
  <c r="J28" i="3"/>
  <c r="J42" i="3"/>
  <c r="J26" i="3"/>
  <c r="J43" i="3"/>
  <c r="J11" i="3"/>
  <c r="J2" i="3"/>
  <c r="J41" i="3"/>
  <c r="J25" i="3"/>
  <c r="J56" i="3"/>
  <c r="J24" i="3"/>
  <c r="J55" i="3"/>
  <c r="I2" i="5"/>
  <c r="K17" i="3" l="1"/>
  <c r="K6" i="3"/>
  <c r="M20" i="3"/>
  <c r="K39" i="3"/>
  <c r="M44" i="3"/>
  <c r="K44" i="3"/>
  <c r="M29" i="3"/>
  <c r="K29" i="3"/>
  <c r="M45" i="3"/>
  <c r="K45" i="3"/>
  <c r="K30" i="3"/>
  <c r="M30" i="3"/>
  <c r="K53" i="3"/>
  <c r="M53" i="3"/>
  <c r="K36" i="3"/>
  <c r="M36" i="3"/>
  <c r="M28" i="3"/>
  <c r="K28" i="3"/>
  <c r="K4" i="3"/>
  <c r="M4" i="3"/>
  <c r="K52" i="3"/>
  <c r="M52" i="3"/>
  <c r="M55" i="3"/>
  <c r="K55" i="3"/>
  <c r="K5" i="3"/>
  <c r="K16" i="3"/>
  <c r="K40" i="3"/>
  <c r="M31" i="3"/>
  <c r="K31" i="3"/>
  <c r="M56" i="3"/>
  <c r="K56" i="3"/>
  <c r="M25" i="3"/>
  <c r="K25" i="3"/>
  <c r="K48" i="3"/>
  <c r="M48" i="3"/>
  <c r="M13" i="3"/>
  <c r="K13" i="3"/>
  <c r="K19" i="3"/>
  <c r="M24" i="3"/>
  <c r="E1" i="2" s="1"/>
  <c r="E4" i="2" s="1"/>
  <c r="E5" i="2" s="1"/>
  <c r="E6" i="2" s="1"/>
  <c r="K24" i="3"/>
  <c r="M38" i="3"/>
  <c r="K38" i="3"/>
  <c r="M54" i="3"/>
  <c r="K54" i="3"/>
  <c r="M41" i="3"/>
  <c r="K41" i="3"/>
  <c r="M2" i="3"/>
  <c r="K1" i="3"/>
  <c r="K2" i="3"/>
  <c r="K49" i="3"/>
  <c r="M49" i="3"/>
  <c r="M43" i="3"/>
  <c r="K43" i="3"/>
  <c r="M27" i="3"/>
  <c r="K27" i="3"/>
  <c r="K15" i="3"/>
  <c r="K21" i="3"/>
  <c r="K35" i="3"/>
  <c r="M35" i="3"/>
  <c r="K18" i="3"/>
  <c r="K46" i="3"/>
  <c r="M46" i="3"/>
  <c r="M8" i="3"/>
  <c r="K8" i="3"/>
  <c r="K47" i="3"/>
  <c r="M47" i="3"/>
  <c r="K32" i="3"/>
  <c r="M32" i="3"/>
  <c r="K33" i="3"/>
  <c r="M33" i="3"/>
  <c r="K10" i="3"/>
  <c r="K7" i="3"/>
  <c r="K51" i="3"/>
  <c r="M51" i="3"/>
  <c r="K14" i="3"/>
  <c r="K37" i="3"/>
  <c r="M37" i="3"/>
  <c r="K3" i="3"/>
  <c r="K9" i="3"/>
  <c r="M11" i="3"/>
  <c r="K11" i="3"/>
  <c r="M26" i="3"/>
  <c r="K26" i="3"/>
  <c r="K34" i="3"/>
  <c r="M34" i="3"/>
  <c r="K23" i="3"/>
  <c r="M42" i="3"/>
  <c r="K42" i="3"/>
  <c r="K50" i="3"/>
  <c r="M50" i="3"/>
  <c r="J1" i="5"/>
  <c r="L2" i="5"/>
  <c r="J2" i="5"/>
</calcChain>
</file>

<file path=xl/sharedStrings.xml><?xml version="1.0" encoding="utf-8"?>
<sst xmlns="http://schemas.openxmlformats.org/spreadsheetml/2006/main" count="366" uniqueCount="133">
  <si>
    <t>Total Annual Buyers:</t>
  </si>
  <si>
    <t>Source: Demand Abolition 2019 Study</t>
  </si>
  <si>
    <t>Percentage</t>
  </si>
  <si>
    <t>Trns. Per year</t>
  </si>
  <si>
    <t>Total Trsn.</t>
  </si>
  <si>
    <t>Overall Trns. Per Year:</t>
  </si>
  <si>
    <t>Overall Trns. Per Month:</t>
  </si>
  <si>
    <t>Buyers per month:</t>
  </si>
  <si>
    <t>Trns. Per Buyer Per Month:</t>
  </si>
  <si>
    <t>Total Annual Sellers:</t>
  </si>
  <si>
    <t>Transactions per day:</t>
  </si>
  <si>
    <t>Working days per week:</t>
  </si>
  <si>
    <t>Trns. per month:</t>
  </si>
  <si>
    <t>Trns. per year:</t>
  </si>
  <si>
    <t>Trns. Per SS Per Month:</t>
  </si>
  <si>
    <t>State</t>
  </si>
  <si>
    <t>Signals received</t>
  </si>
  <si>
    <t>% of total signals</t>
  </si>
  <si>
    <t>Cases identified</t>
  </si>
  <si>
    <t>% of total cases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</si>
  <si>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</si>
  <si>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</si>
  <si>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</si>
  <si>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</si>
  <si>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</si>
  <si>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</si>
  <si>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</si>
  <si>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</si>
  <si>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</si>
  <si>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</si>
  <si>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</si>
  <si>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</si>
  <si>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</si>
  <si>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</si>
  <si>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</si>
  <si>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</si>
  <si>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</si>
  <si>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</si>
  <si>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</si>
  <si>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</si>
  <si>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</si>
  <si>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</si>
  <si>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</si>
  <si>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</si>
  <si>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</si>
  <si>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</si>
  <si>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</si>
  <si>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</si>
  <si>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</si>
  <si>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</si>
  <si>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</si>
  <si>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</si>
  <si>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</si>
  <si>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</si>
  <si>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</si>
  <si>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</si>
  <si>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</si>
  <si>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</si>
  <si>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</si>
  <si>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</si>
  <si>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</si>
  <si>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</si>
  <si>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</si>
  <si>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</si>
  <si>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</si>
  <si>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</si>
  <si>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</si>
  <si>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</si>
  <si>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</si>
  <si>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</si>
  <si>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</si>
  <si>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</si>
  <si>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</si>
  <si>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</si>
  <si>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</si>
  <si>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</si>
  <si>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</si>
  <si>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</si>
  <si>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</si>
  <si>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</si>
  <si>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</si>
  <si>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</si>
  <si>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</si>
  <si>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</si>
  <si>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</si>
  <si>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</si>
  <si>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</si>
  <si>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</si>
  <si>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</si>
  <si>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</si>
  <si>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</si>
  <si>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</si>
  <si>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</si>
  <si>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</si>
  <si>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</si>
  <si>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</si>
  <si>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</si>
  <si>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</si>
  <si>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</si>
  <si>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</si>
  <si>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</si>
  <si>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</si>
  <si>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</si>
  <si>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</si>
  <si>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</si>
  <si>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</si>
  <si>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</si>
  <si>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</si>
  <si>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</si>
  <si>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</si>
  <si>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</si>
  <si>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</si>
  <si>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</si>
  <si>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</si>
  <si>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</si>
  <si>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</si>
  <si>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</si>
  <si>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</si>
  <si>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</si>
  <si>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</si>
  <si>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</si>
  <si>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</si>
  <si>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</si>
  <si>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</si>
  <si>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</si>
  <si>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</si>
  <si>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t>Population</t>
  </si>
  <si>
    <t>Population %</t>
  </si>
  <si>
    <t>Cases per person</t>
  </si>
  <si>
    <t>% of cases per state of total cases</t>
  </si>
  <si>
    <t>SS</t>
  </si>
  <si>
    <t>Estimate from Hotline (Avg. 2022-24):</t>
  </si>
  <si>
    <t>Total Sex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</si>
</sst>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MS sans serif"/>
    </font>
    <font>
      <sz val="10"/>
      <color indexed="9"/>
      <name val="MS sans serif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2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2" fontId="0" fillId="0" borderId="0" xfId="0" applyNumberFormat="1"/>
    <xf numFmtId="10" fontId="2" fillId="0" borderId="0" xfId="0" applyNumberFormat="1" applyFont="1" applyAlignment="1">
      <alignment horizontal="center" vertical="center" wrapText="1"/>
    </xf>
    <xf numFmtId="3" fontId="4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5" fillId="2" borderId="1" xfId="0" applyFont="1" applyFill="1" applyBorder="1" applyProtection="1">
      <protection locked="0"/>
    </xf>
    <xf numFmtId="10" fontId="2" fillId="0" borderId="0" xfId="1" applyNumberFormat="1" applyFont="1" applyAlignment="1">
      <alignment horizontal="center" vertical="center" wrapText="1"/>
    </xf>
    <xf numFmtId="10" fontId="0" fillId="0" borderId="0" xfId="1" applyNumberFormat="1" applyFont="1"/>
    <xf numFmtId="0" fontId="5" fillId="3" borderId="1" xfId="0" applyFont="1" applyFill="1" applyBorder="1" applyProtection="1">
      <protection locked="0"/>
    </xf>
    <xf numFmtId="0" fontId="3" fillId="3" borderId="0" xfId="2" applyFill="1" applyAlignment="1">
      <alignment vertical="center" wrapText="1"/>
    </xf>
    <xf numFmtId="0" fontId="0" fillId="3" borderId="0" xfId="0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3" fontId="4" fillId="3" borderId="1" xfId="0" applyNumberFormat="1" applyFont="1" applyFill="1" applyBorder="1" applyAlignment="1" applyProtection="1">
      <alignment horizontal="right"/>
      <protection locked="0"/>
    </xf>
    <xf numFmtId="10" fontId="0" fillId="3" borderId="0" xfId="1" applyNumberFormat="1" applyFont="1" applyFill="1"/>
    <xf numFmtId="0" fontId="0" fillId="3" borderId="0" xfId="0" applyFill="1"/>
    <xf numFmtId="10" fontId="0" fillId="3" borderId="0" xfId="0" applyNumberFormat="1" applyFill="1"/>
    <xf numFmtId="4" fontId="0" fillId="4" borderId="0" xfId="0" applyNumberFormat="1" applyFill="1"/>
    <xf numFmtId="0" fontId="0" fillId="5" borderId="0" xfId="0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0</xdr:row>
      <xdr:rowOff>19051</xdr:rowOff>
    </xdr:from>
    <xdr:to>
      <xdr:col>13</xdr:col>
      <xdr:colOff>497941</xdr:colOff>
      <xdr:row>20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F5F66-7EDF-1B66-9740-A08D91A45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19051"/>
          <a:ext cx="4879441" cy="3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humantraffickinghotline.org/en/statistics/hawaii" TargetMode="External"/><Relationship Id="rId18" Type="http://schemas.openxmlformats.org/officeDocument/2006/relationships/hyperlink" Target="https://humantraffickinghotline.org/en/statistics/kansas" TargetMode="External"/><Relationship Id="rId26" Type="http://schemas.openxmlformats.org/officeDocument/2006/relationships/hyperlink" Target="https://humantraffickinghotline.org/en/statistics/mississippi" TargetMode="External"/><Relationship Id="rId39" Type="http://schemas.openxmlformats.org/officeDocument/2006/relationships/hyperlink" Target="https://humantraffickinghotline.org/en/statistics/oklahoma" TargetMode="External"/><Relationship Id="rId21" Type="http://schemas.openxmlformats.org/officeDocument/2006/relationships/hyperlink" Target="https://humantraffickinghotline.org/en/statistics/maine" TargetMode="External"/><Relationship Id="rId34" Type="http://schemas.openxmlformats.org/officeDocument/2006/relationships/hyperlink" Target="https://humantraffickinghotline.org/en/statistics/new-york" TargetMode="External"/><Relationship Id="rId42" Type="http://schemas.openxmlformats.org/officeDocument/2006/relationships/hyperlink" Target="https://humantraffickinghotline.org/en/statistics/puerto-rico" TargetMode="External"/><Relationship Id="rId47" Type="http://schemas.openxmlformats.org/officeDocument/2006/relationships/hyperlink" Target="https://humantraffickinghotline.org/en/statistics/texas" TargetMode="External"/><Relationship Id="rId50" Type="http://schemas.openxmlformats.org/officeDocument/2006/relationships/hyperlink" Target="https://humantraffickinghotline.org/en/statistics/vermont" TargetMode="External"/><Relationship Id="rId55" Type="http://schemas.openxmlformats.org/officeDocument/2006/relationships/hyperlink" Target="https://humantraffickinghotline.org/en/statistics/wyoming" TargetMode="External"/><Relationship Id="rId7" Type="http://schemas.openxmlformats.org/officeDocument/2006/relationships/hyperlink" Target="https://humantraffickinghotline.org/en/statistics/connecticut" TargetMode="External"/><Relationship Id="rId2" Type="http://schemas.openxmlformats.org/officeDocument/2006/relationships/hyperlink" Target="https://humantraffickinghotline.org/en/statistics/alaska" TargetMode="External"/><Relationship Id="rId16" Type="http://schemas.openxmlformats.org/officeDocument/2006/relationships/hyperlink" Target="https://humantraffickinghotline.org/en/statistics/indiana" TargetMode="External"/><Relationship Id="rId29" Type="http://schemas.openxmlformats.org/officeDocument/2006/relationships/hyperlink" Target="https://humantraffickinghotline.org/en/statistics/nebraska" TargetMode="External"/><Relationship Id="rId11" Type="http://schemas.openxmlformats.org/officeDocument/2006/relationships/hyperlink" Target="https://humantraffickinghotline.org/en/statistics/georgia" TargetMode="External"/><Relationship Id="rId24" Type="http://schemas.openxmlformats.org/officeDocument/2006/relationships/hyperlink" Target="https://humantraffickinghotline.org/en/statistics/michigan" TargetMode="External"/><Relationship Id="rId32" Type="http://schemas.openxmlformats.org/officeDocument/2006/relationships/hyperlink" Target="https://humantraffickinghotline.org/en/statistics/new-jersey" TargetMode="External"/><Relationship Id="rId37" Type="http://schemas.openxmlformats.org/officeDocument/2006/relationships/hyperlink" Target="https://humantraffickinghotline.org/en/statistics/northern-marianas-islands" TargetMode="External"/><Relationship Id="rId40" Type="http://schemas.openxmlformats.org/officeDocument/2006/relationships/hyperlink" Target="https://humantraffickinghotline.org/en/statistics/oregon" TargetMode="External"/><Relationship Id="rId45" Type="http://schemas.openxmlformats.org/officeDocument/2006/relationships/hyperlink" Target="https://humantraffickinghotline.org/en/statistics/south-dakota" TargetMode="External"/><Relationship Id="rId53" Type="http://schemas.openxmlformats.org/officeDocument/2006/relationships/hyperlink" Target="https://humantraffickinghotline.org/en/statistics/west-virginia" TargetMode="External"/><Relationship Id="rId5" Type="http://schemas.openxmlformats.org/officeDocument/2006/relationships/hyperlink" Target="https://humantraffickinghotline.org/en/statistics/california" TargetMode="External"/><Relationship Id="rId10" Type="http://schemas.openxmlformats.org/officeDocument/2006/relationships/hyperlink" Target="https://humantraffickinghotline.org/en/statistics/florida" TargetMode="External"/><Relationship Id="rId19" Type="http://schemas.openxmlformats.org/officeDocument/2006/relationships/hyperlink" Target="https://humantraffickinghotline.org/en/statistics/kentucky" TargetMode="External"/><Relationship Id="rId31" Type="http://schemas.openxmlformats.org/officeDocument/2006/relationships/hyperlink" Target="https://humantraffickinghotline.org/en/statistics/new-hampshire" TargetMode="External"/><Relationship Id="rId44" Type="http://schemas.openxmlformats.org/officeDocument/2006/relationships/hyperlink" Target="https://humantraffickinghotline.org/en/statistics/south-carolina" TargetMode="External"/><Relationship Id="rId52" Type="http://schemas.openxmlformats.org/officeDocument/2006/relationships/hyperlink" Target="https://humantraffickinghotline.org/en/statistics/washington" TargetMode="External"/><Relationship Id="rId4" Type="http://schemas.openxmlformats.org/officeDocument/2006/relationships/hyperlink" Target="https://humantraffickinghotline.org/en/statistics/arkansas" TargetMode="External"/><Relationship Id="rId9" Type="http://schemas.openxmlformats.org/officeDocument/2006/relationships/hyperlink" Target="https://humantraffickinghotline.org/en/statistics/district-columbia" TargetMode="External"/><Relationship Id="rId14" Type="http://schemas.openxmlformats.org/officeDocument/2006/relationships/hyperlink" Target="https://humantraffickinghotline.org/en/statistics/idaho" TargetMode="External"/><Relationship Id="rId22" Type="http://schemas.openxmlformats.org/officeDocument/2006/relationships/hyperlink" Target="https://humantraffickinghotline.org/en/statistics/maryland" TargetMode="External"/><Relationship Id="rId27" Type="http://schemas.openxmlformats.org/officeDocument/2006/relationships/hyperlink" Target="https://humantraffickinghotline.org/en/statistics/missouri" TargetMode="External"/><Relationship Id="rId30" Type="http://schemas.openxmlformats.org/officeDocument/2006/relationships/hyperlink" Target="https://humantraffickinghotline.org/en/statistics/nevada" TargetMode="External"/><Relationship Id="rId35" Type="http://schemas.openxmlformats.org/officeDocument/2006/relationships/hyperlink" Target="https://humantraffickinghotline.org/en/statistics/north-carolina" TargetMode="External"/><Relationship Id="rId43" Type="http://schemas.openxmlformats.org/officeDocument/2006/relationships/hyperlink" Target="https://humantraffickinghotline.org/en/statistics/rhode-island" TargetMode="External"/><Relationship Id="rId48" Type="http://schemas.openxmlformats.org/officeDocument/2006/relationships/hyperlink" Target="https://humantraffickinghotline.org/en/statistics/us-virgin-islands" TargetMode="External"/><Relationship Id="rId8" Type="http://schemas.openxmlformats.org/officeDocument/2006/relationships/hyperlink" Target="https://humantraffickinghotline.org/en/statistics/delaware" TargetMode="External"/><Relationship Id="rId51" Type="http://schemas.openxmlformats.org/officeDocument/2006/relationships/hyperlink" Target="https://humantraffickinghotline.org/en/statistics/virginia" TargetMode="External"/><Relationship Id="rId3" Type="http://schemas.openxmlformats.org/officeDocument/2006/relationships/hyperlink" Target="https://humantraffickinghotline.org/en/statistics/arizona" TargetMode="External"/><Relationship Id="rId12" Type="http://schemas.openxmlformats.org/officeDocument/2006/relationships/hyperlink" Target="https://humantraffickinghotline.org/en/statistics/guam" TargetMode="External"/><Relationship Id="rId17" Type="http://schemas.openxmlformats.org/officeDocument/2006/relationships/hyperlink" Target="https://humantraffickinghotline.org/en/statistics/iowa" TargetMode="External"/><Relationship Id="rId25" Type="http://schemas.openxmlformats.org/officeDocument/2006/relationships/hyperlink" Target="https://humantraffickinghotline.org/en/statistics/minnesota" TargetMode="External"/><Relationship Id="rId33" Type="http://schemas.openxmlformats.org/officeDocument/2006/relationships/hyperlink" Target="https://humantraffickinghotline.org/en/statistics/new-mexico" TargetMode="External"/><Relationship Id="rId38" Type="http://schemas.openxmlformats.org/officeDocument/2006/relationships/hyperlink" Target="https://humantraffickinghotline.org/en/statistics/ohio" TargetMode="External"/><Relationship Id="rId46" Type="http://schemas.openxmlformats.org/officeDocument/2006/relationships/hyperlink" Target="https://humantraffickinghotline.org/en/statistics/tennessee" TargetMode="External"/><Relationship Id="rId20" Type="http://schemas.openxmlformats.org/officeDocument/2006/relationships/hyperlink" Target="https://humantraffickinghotline.org/en/statistics/louisiana" TargetMode="External"/><Relationship Id="rId41" Type="http://schemas.openxmlformats.org/officeDocument/2006/relationships/hyperlink" Target="https://humantraffickinghotline.org/en/statistics/pennsylvania" TargetMode="External"/><Relationship Id="rId54" Type="http://schemas.openxmlformats.org/officeDocument/2006/relationships/hyperlink" Target="https://humantraffickinghotline.org/en/statistics/wisconsin" TargetMode="External"/><Relationship Id="rId1" Type="http://schemas.openxmlformats.org/officeDocument/2006/relationships/hyperlink" Target="https://humantraffickinghotline.org/en/statistics/alabama" TargetMode="External"/><Relationship Id="rId6" Type="http://schemas.openxmlformats.org/officeDocument/2006/relationships/hyperlink" Target="https://humantraffickinghotline.org/en/statistics/colorado" TargetMode="External"/><Relationship Id="rId15" Type="http://schemas.openxmlformats.org/officeDocument/2006/relationships/hyperlink" Target="https://humantraffickinghotline.org/en/statistics/illinois" TargetMode="External"/><Relationship Id="rId23" Type="http://schemas.openxmlformats.org/officeDocument/2006/relationships/hyperlink" Target="https://humantraffickinghotline.org/en/statistics/massachusetts" TargetMode="External"/><Relationship Id="rId28" Type="http://schemas.openxmlformats.org/officeDocument/2006/relationships/hyperlink" Target="https://humantraffickinghotline.org/en/statistics/montana" TargetMode="External"/><Relationship Id="rId36" Type="http://schemas.openxmlformats.org/officeDocument/2006/relationships/hyperlink" Target="https://humantraffickinghotline.org/en/statistics/north-dakota" TargetMode="External"/><Relationship Id="rId49" Type="http://schemas.openxmlformats.org/officeDocument/2006/relationships/hyperlink" Target="https://humantraffickinghotline.org/en/statistics/utah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humantraffickinghotline.org/en/statistics/hawaii" TargetMode="External"/><Relationship Id="rId18" Type="http://schemas.openxmlformats.org/officeDocument/2006/relationships/hyperlink" Target="https://humantraffickinghotline.org/en/statistics/kansas" TargetMode="External"/><Relationship Id="rId26" Type="http://schemas.openxmlformats.org/officeDocument/2006/relationships/hyperlink" Target="https://humantraffickinghotline.org/en/statistics/mississippi" TargetMode="External"/><Relationship Id="rId39" Type="http://schemas.openxmlformats.org/officeDocument/2006/relationships/hyperlink" Target="https://humantraffickinghotline.org/en/statistics/oklahoma" TargetMode="External"/><Relationship Id="rId21" Type="http://schemas.openxmlformats.org/officeDocument/2006/relationships/hyperlink" Target="https://humantraffickinghotline.org/en/statistics/maine" TargetMode="External"/><Relationship Id="rId34" Type="http://schemas.openxmlformats.org/officeDocument/2006/relationships/hyperlink" Target="https://humantraffickinghotline.org/en/statistics/new-york" TargetMode="External"/><Relationship Id="rId42" Type="http://schemas.openxmlformats.org/officeDocument/2006/relationships/hyperlink" Target="https://humantraffickinghotline.org/en/statistics/puerto-rico" TargetMode="External"/><Relationship Id="rId47" Type="http://schemas.openxmlformats.org/officeDocument/2006/relationships/hyperlink" Target="https://humantraffickinghotline.org/en/statistics/texas" TargetMode="External"/><Relationship Id="rId50" Type="http://schemas.openxmlformats.org/officeDocument/2006/relationships/hyperlink" Target="https://humantraffickinghotline.org/en/statistics/vermont" TargetMode="External"/><Relationship Id="rId55" Type="http://schemas.openxmlformats.org/officeDocument/2006/relationships/hyperlink" Target="https://humantraffickinghotline.org/en/statistics/wyoming" TargetMode="External"/><Relationship Id="rId7" Type="http://schemas.openxmlformats.org/officeDocument/2006/relationships/hyperlink" Target="https://humantraffickinghotline.org/en/statistics/connecticut" TargetMode="External"/><Relationship Id="rId2" Type="http://schemas.openxmlformats.org/officeDocument/2006/relationships/hyperlink" Target="https://humantraffickinghotline.org/en/statistics/alaska" TargetMode="External"/><Relationship Id="rId16" Type="http://schemas.openxmlformats.org/officeDocument/2006/relationships/hyperlink" Target="https://humantraffickinghotline.org/en/statistics/indiana" TargetMode="External"/><Relationship Id="rId29" Type="http://schemas.openxmlformats.org/officeDocument/2006/relationships/hyperlink" Target="https://humantraffickinghotline.org/en/statistics/nebraska" TargetMode="External"/><Relationship Id="rId11" Type="http://schemas.openxmlformats.org/officeDocument/2006/relationships/hyperlink" Target="https://humantraffickinghotline.org/en/statistics/georgia" TargetMode="External"/><Relationship Id="rId24" Type="http://schemas.openxmlformats.org/officeDocument/2006/relationships/hyperlink" Target="https://humantraffickinghotline.org/en/statistics/michigan" TargetMode="External"/><Relationship Id="rId32" Type="http://schemas.openxmlformats.org/officeDocument/2006/relationships/hyperlink" Target="https://humantraffickinghotline.org/en/statistics/new-jersey" TargetMode="External"/><Relationship Id="rId37" Type="http://schemas.openxmlformats.org/officeDocument/2006/relationships/hyperlink" Target="https://humantraffickinghotline.org/en/statistics/northern-marianas-islands" TargetMode="External"/><Relationship Id="rId40" Type="http://schemas.openxmlformats.org/officeDocument/2006/relationships/hyperlink" Target="https://humantraffickinghotline.org/en/statistics/oregon" TargetMode="External"/><Relationship Id="rId45" Type="http://schemas.openxmlformats.org/officeDocument/2006/relationships/hyperlink" Target="https://humantraffickinghotline.org/en/statistics/south-dakota" TargetMode="External"/><Relationship Id="rId53" Type="http://schemas.openxmlformats.org/officeDocument/2006/relationships/hyperlink" Target="https://humantraffickinghotline.org/en/statistics/west-virginia" TargetMode="External"/><Relationship Id="rId5" Type="http://schemas.openxmlformats.org/officeDocument/2006/relationships/hyperlink" Target="https://humantraffickinghotline.org/en/statistics/california" TargetMode="External"/><Relationship Id="rId10" Type="http://schemas.openxmlformats.org/officeDocument/2006/relationships/hyperlink" Target="https://humantraffickinghotline.org/en/statistics/florida" TargetMode="External"/><Relationship Id="rId19" Type="http://schemas.openxmlformats.org/officeDocument/2006/relationships/hyperlink" Target="https://humantraffickinghotline.org/en/statistics/kentucky" TargetMode="External"/><Relationship Id="rId31" Type="http://schemas.openxmlformats.org/officeDocument/2006/relationships/hyperlink" Target="https://humantraffickinghotline.org/en/statistics/new-hampshire" TargetMode="External"/><Relationship Id="rId44" Type="http://schemas.openxmlformats.org/officeDocument/2006/relationships/hyperlink" Target="https://humantraffickinghotline.org/en/statistics/south-carolina" TargetMode="External"/><Relationship Id="rId52" Type="http://schemas.openxmlformats.org/officeDocument/2006/relationships/hyperlink" Target="https://humantraffickinghotline.org/en/statistics/washington" TargetMode="External"/><Relationship Id="rId4" Type="http://schemas.openxmlformats.org/officeDocument/2006/relationships/hyperlink" Target="https://humantraffickinghotline.org/en/statistics/arkansas" TargetMode="External"/><Relationship Id="rId9" Type="http://schemas.openxmlformats.org/officeDocument/2006/relationships/hyperlink" Target="https://humantraffickinghotline.org/en/statistics/district-columbia" TargetMode="External"/><Relationship Id="rId14" Type="http://schemas.openxmlformats.org/officeDocument/2006/relationships/hyperlink" Target="https://humantraffickinghotline.org/en/statistics/idaho" TargetMode="External"/><Relationship Id="rId22" Type="http://schemas.openxmlformats.org/officeDocument/2006/relationships/hyperlink" Target="https://humantraffickinghotline.org/en/statistics/maryland" TargetMode="External"/><Relationship Id="rId27" Type="http://schemas.openxmlformats.org/officeDocument/2006/relationships/hyperlink" Target="https://humantraffickinghotline.org/en/statistics/missouri" TargetMode="External"/><Relationship Id="rId30" Type="http://schemas.openxmlformats.org/officeDocument/2006/relationships/hyperlink" Target="https://humantraffickinghotline.org/en/statistics/nevada" TargetMode="External"/><Relationship Id="rId35" Type="http://schemas.openxmlformats.org/officeDocument/2006/relationships/hyperlink" Target="https://humantraffickinghotline.org/en/statistics/north-carolina" TargetMode="External"/><Relationship Id="rId43" Type="http://schemas.openxmlformats.org/officeDocument/2006/relationships/hyperlink" Target="https://humantraffickinghotline.org/en/statistics/rhode-island" TargetMode="External"/><Relationship Id="rId48" Type="http://schemas.openxmlformats.org/officeDocument/2006/relationships/hyperlink" Target="https://humantraffickinghotline.org/en/statistics/us-virgin-islands" TargetMode="External"/><Relationship Id="rId8" Type="http://schemas.openxmlformats.org/officeDocument/2006/relationships/hyperlink" Target="https://humantraffickinghotline.org/en/statistics/delaware" TargetMode="External"/><Relationship Id="rId51" Type="http://schemas.openxmlformats.org/officeDocument/2006/relationships/hyperlink" Target="https://humantraffickinghotline.org/en/statistics/virginia" TargetMode="External"/><Relationship Id="rId3" Type="http://schemas.openxmlformats.org/officeDocument/2006/relationships/hyperlink" Target="https://humantraffickinghotline.org/en/statistics/arizona" TargetMode="External"/><Relationship Id="rId12" Type="http://schemas.openxmlformats.org/officeDocument/2006/relationships/hyperlink" Target="https://humantraffickinghotline.org/en/statistics/guam" TargetMode="External"/><Relationship Id="rId17" Type="http://schemas.openxmlformats.org/officeDocument/2006/relationships/hyperlink" Target="https://humantraffickinghotline.org/en/statistics/iowa" TargetMode="External"/><Relationship Id="rId25" Type="http://schemas.openxmlformats.org/officeDocument/2006/relationships/hyperlink" Target="https://humantraffickinghotline.org/en/statistics/minnesota" TargetMode="External"/><Relationship Id="rId33" Type="http://schemas.openxmlformats.org/officeDocument/2006/relationships/hyperlink" Target="https://humantraffickinghotline.org/en/statistics/new-mexico" TargetMode="External"/><Relationship Id="rId38" Type="http://schemas.openxmlformats.org/officeDocument/2006/relationships/hyperlink" Target="https://humantraffickinghotline.org/en/statistics/ohio" TargetMode="External"/><Relationship Id="rId46" Type="http://schemas.openxmlformats.org/officeDocument/2006/relationships/hyperlink" Target="https://humantraffickinghotline.org/en/statistics/tennessee" TargetMode="External"/><Relationship Id="rId20" Type="http://schemas.openxmlformats.org/officeDocument/2006/relationships/hyperlink" Target="https://humantraffickinghotline.org/en/statistics/louisiana" TargetMode="External"/><Relationship Id="rId41" Type="http://schemas.openxmlformats.org/officeDocument/2006/relationships/hyperlink" Target="https://humantraffickinghotline.org/en/statistics/pennsylvania" TargetMode="External"/><Relationship Id="rId54" Type="http://schemas.openxmlformats.org/officeDocument/2006/relationships/hyperlink" Target="https://humantraffickinghotline.org/en/statistics/wisconsin" TargetMode="External"/><Relationship Id="rId1" Type="http://schemas.openxmlformats.org/officeDocument/2006/relationships/hyperlink" Target="https://humantraffickinghotline.org/en/statistics/alabama" TargetMode="External"/><Relationship Id="rId6" Type="http://schemas.openxmlformats.org/officeDocument/2006/relationships/hyperlink" Target="https://humantraffickinghotline.org/en/statistics/colorado" TargetMode="External"/><Relationship Id="rId15" Type="http://schemas.openxmlformats.org/officeDocument/2006/relationships/hyperlink" Target="https://humantraffickinghotline.org/en/statistics/illinois" TargetMode="External"/><Relationship Id="rId23" Type="http://schemas.openxmlformats.org/officeDocument/2006/relationships/hyperlink" Target="https://humantraffickinghotline.org/en/statistics/massachusetts" TargetMode="External"/><Relationship Id="rId28" Type="http://schemas.openxmlformats.org/officeDocument/2006/relationships/hyperlink" Target="https://humantraffickinghotline.org/en/statistics/montana" TargetMode="External"/><Relationship Id="rId36" Type="http://schemas.openxmlformats.org/officeDocument/2006/relationships/hyperlink" Target="https://humantraffickinghotline.org/en/statistics/north-dakota" TargetMode="External"/><Relationship Id="rId49" Type="http://schemas.openxmlformats.org/officeDocument/2006/relationships/hyperlink" Target="https://humantraffickinghotline.org/en/statistics/utah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humantraffickinghotline.org/en/statistics/idaho" TargetMode="External"/><Relationship Id="rId18" Type="http://schemas.openxmlformats.org/officeDocument/2006/relationships/hyperlink" Target="https://humantraffickinghotline.org/en/statistics/kentucky" TargetMode="External"/><Relationship Id="rId26" Type="http://schemas.openxmlformats.org/officeDocument/2006/relationships/hyperlink" Target="https://humantraffickinghotline.org/en/statistics/missouri" TargetMode="External"/><Relationship Id="rId39" Type="http://schemas.openxmlformats.org/officeDocument/2006/relationships/hyperlink" Target="https://humantraffickinghotline.org/en/statistics/oregon" TargetMode="External"/><Relationship Id="rId21" Type="http://schemas.openxmlformats.org/officeDocument/2006/relationships/hyperlink" Target="https://humantraffickinghotline.org/en/statistics/maryland" TargetMode="External"/><Relationship Id="rId34" Type="http://schemas.openxmlformats.org/officeDocument/2006/relationships/hyperlink" Target="https://humantraffickinghotline.org/en/statistics/north-carolina" TargetMode="External"/><Relationship Id="rId42" Type="http://schemas.openxmlformats.org/officeDocument/2006/relationships/hyperlink" Target="https://humantraffickinghotline.org/en/statistics/rhode-island" TargetMode="External"/><Relationship Id="rId47" Type="http://schemas.openxmlformats.org/officeDocument/2006/relationships/hyperlink" Target="https://humantraffickinghotline.org/en/statistics/us-virgin-islands" TargetMode="External"/><Relationship Id="rId50" Type="http://schemas.openxmlformats.org/officeDocument/2006/relationships/hyperlink" Target="https://humantraffickinghotline.org/en/statistics/virginia" TargetMode="External"/><Relationship Id="rId7" Type="http://schemas.openxmlformats.org/officeDocument/2006/relationships/hyperlink" Target="https://humantraffickinghotline.org/en/statistics/connecticut" TargetMode="External"/><Relationship Id="rId2" Type="http://schemas.openxmlformats.org/officeDocument/2006/relationships/hyperlink" Target="https://humantraffickinghotline.org/en/statistics/alaska" TargetMode="External"/><Relationship Id="rId16" Type="http://schemas.openxmlformats.org/officeDocument/2006/relationships/hyperlink" Target="https://humantraffickinghotline.org/en/statistics/iowa" TargetMode="External"/><Relationship Id="rId29" Type="http://schemas.openxmlformats.org/officeDocument/2006/relationships/hyperlink" Target="https://humantraffickinghotline.org/en/statistics/nevada" TargetMode="External"/><Relationship Id="rId11" Type="http://schemas.openxmlformats.org/officeDocument/2006/relationships/hyperlink" Target="https://humantraffickinghotline.org/en/statistics/georgia" TargetMode="External"/><Relationship Id="rId24" Type="http://schemas.openxmlformats.org/officeDocument/2006/relationships/hyperlink" Target="https://humantraffickinghotline.org/en/statistics/minnesota" TargetMode="External"/><Relationship Id="rId32" Type="http://schemas.openxmlformats.org/officeDocument/2006/relationships/hyperlink" Target="https://humantraffickinghotline.org/en/statistics/new-mexico" TargetMode="External"/><Relationship Id="rId37" Type="http://schemas.openxmlformats.org/officeDocument/2006/relationships/hyperlink" Target="https://humantraffickinghotline.org/en/statistics/ohio" TargetMode="External"/><Relationship Id="rId40" Type="http://schemas.openxmlformats.org/officeDocument/2006/relationships/hyperlink" Target="https://humantraffickinghotline.org/en/statistics/pennsylvania" TargetMode="External"/><Relationship Id="rId45" Type="http://schemas.openxmlformats.org/officeDocument/2006/relationships/hyperlink" Target="https://humantraffickinghotline.org/en/statistics/tennessee" TargetMode="External"/><Relationship Id="rId53" Type="http://schemas.openxmlformats.org/officeDocument/2006/relationships/hyperlink" Target="https://humantraffickinghotline.org/en/statistics/wisconsin" TargetMode="External"/><Relationship Id="rId5" Type="http://schemas.openxmlformats.org/officeDocument/2006/relationships/hyperlink" Target="https://humantraffickinghotline.org/en/statistics/california" TargetMode="External"/><Relationship Id="rId10" Type="http://schemas.openxmlformats.org/officeDocument/2006/relationships/hyperlink" Target="https://humantraffickinghotline.org/en/statistics/florida" TargetMode="External"/><Relationship Id="rId19" Type="http://schemas.openxmlformats.org/officeDocument/2006/relationships/hyperlink" Target="https://humantraffickinghotline.org/en/statistics/louisiana" TargetMode="External"/><Relationship Id="rId31" Type="http://schemas.openxmlformats.org/officeDocument/2006/relationships/hyperlink" Target="https://humantraffickinghotline.org/en/statistics/new-jersey" TargetMode="External"/><Relationship Id="rId44" Type="http://schemas.openxmlformats.org/officeDocument/2006/relationships/hyperlink" Target="https://humantraffickinghotline.org/en/statistics/south-dakota" TargetMode="External"/><Relationship Id="rId52" Type="http://schemas.openxmlformats.org/officeDocument/2006/relationships/hyperlink" Target="https://humantraffickinghotline.org/en/statistics/west-virginia" TargetMode="External"/><Relationship Id="rId4" Type="http://schemas.openxmlformats.org/officeDocument/2006/relationships/hyperlink" Target="https://humantraffickinghotline.org/en/statistics/arkansas" TargetMode="External"/><Relationship Id="rId9" Type="http://schemas.openxmlformats.org/officeDocument/2006/relationships/hyperlink" Target="https://humantraffickinghotline.org/en/statistics/district-columbia" TargetMode="External"/><Relationship Id="rId14" Type="http://schemas.openxmlformats.org/officeDocument/2006/relationships/hyperlink" Target="https://humantraffickinghotline.org/en/statistics/illinois" TargetMode="External"/><Relationship Id="rId22" Type="http://schemas.openxmlformats.org/officeDocument/2006/relationships/hyperlink" Target="https://humantraffickinghotline.org/en/statistics/massachusetts" TargetMode="External"/><Relationship Id="rId27" Type="http://schemas.openxmlformats.org/officeDocument/2006/relationships/hyperlink" Target="https://humantraffickinghotline.org/en/statistics/montana" TargetMode="External"/><Relationship Id="rId30" Type="http://schemas.openxmlformats.org/officeDocument/2006/relationships/hyperlink" Target="https://humantraffickinghotline.org/en/statistics/new-hampshire" TargetMode="External"/><Relationship Id="rId35" Type="http://schemas.openxmlformats.org/officeDocument/2006/relationships/hyperlink" Target="https://humantraffickinghotline.org/en/statistics/north-dakota" TargetMode="External"/><Relationship Id="rId43" Type="http://schemas.openxmlformats.org/officeDocument/2006/relationships/hyperlink" Target="https://humantraffickinghotline.org/en/statistics/south-carolina" TargetMode="External"/><Relationship Id="rId48" Type="http://schemas.openxmlformats.org/officeDocument/2006/relationships/hyperlink" Target="https://humantraffickinghotline.org/en/statistics/utah" TargetMode="External"/><Relationship Id="rId8" Type="http://schemas.openxmlformats.org/officeDocument/2006/relationships/hyperlink" Target="https://humantraffickinghotline.org/en/statistics/delaware" TargetMode="External"/><Relationship Id="rId51" Type="http://schemas.openxmlformats.org/officeDocument/2006/relationships/hyperlink" Target="https://humantraffickinghotline.org/en/statistics/washington" TargetMode="External"/><Relationship Id="rId3" Type="http://schemas.openxmlformats.org/officeDocument/2006/relationships/hyperlink" Target="https://humantraffickinghotline.org/en/statistics/arizona" TargetMode="External"/><Relationship Id="rId12" Type="http://schemas.openxmlformats.org/officeDocument/2006/relationships/hyperlink" Target="https://humantraffickinghotline.org/en/statistics/hawaii" TargetMode="External"/><Relationship Id="rId17" Type="http://schemas.openxmlformats.org/officeDocument/2006/relationships/hyperlink" Target="https://humantraffickinghotline.org/en/statistics/kansas" TargetMode="External"/><Relationship Id="rId25" Type="http://schemas.openxmlformats.org/officeDocument/2006/relationships/hyperlink" Target="https://humantraffickinghotline.org/en/statistics/mississippi" TargetMode="External"/><Relationship Id="rId33" Type="http://schemas.openxmlformats.org/officeDocument/2006/relationships/hyperlink" Target="https://humantraffickinghotline.org/en/statistics/new-york" TargetMode="External"/><Relationship Id="rId38" Type="http://schemas.openxmlformats.org/officeDocument/2006/relationships/hyperlink" Target="https://humantraffickinghotline.org/en/statistics/oklahoma" TargetMode="External"/><Relationship Id="rId46" Type="http://schemas.openxmlformats.org/officeDocument/2006/relationships/hyperlink" Target="https://humantraffickinghotline.org/en/statistics/texas" TargetMode="External"/><Relationship Id="rId20" Type="http://schemas.openxmlformats.org/officeDocument/2006/relationships/hyperlink" Target="https://humantraffickinghotline.org/en/statistics/maine" TargetMode="External"/><Relationship Id="rId41" Type="http://schemas.openxmlformats.org/officeDocument/2006/relationships/hyperlink" Target="https://humantraffickinghotline.org/en/statistics/puerto-rico" TargetMode="External"/><Relationship Id="rId54" Type="http://schemas.openxmlformats.org/officeDocument/2006/relationships/hyperlink" Target="https://humantraffickinghotline.org/en/statistics/wyoming" TargetMode="External"/><Relationship Id="rId1" Type="http://schemas.openxmlformats.org/officeDocument/2006/relationships/hyperlink" Target="https://humantraffickinghotline.org/en/statistics/alabama" TargetMode="External"/><Relationship Id="rId6" Type="http://schemas.openxmlformats.org/officeDocument/2006/relationships/hyperlink" Target="https://humantraffickinghotline.org/en/statistics/colorado" TargetMode="External"/><Relationship Id="rId15" Type="http://schemas.openxmlformats.org/officeDocument/2006/relationships/hyperlink" Target="https://humantraffickinghotline.org/en/statistics/indiana" TargetMode="External"/><Relationship Id="rId23" Type="http://schemas.openxmlformats.org/officeDocument/2006/relationships/hyperlink" Target="https://humantraffickinghotline.org/en/statistics/michigan" TargetMode="External"/><Relationship Id="rId28" Type="http://schemas.openxmlformats.org/officeDocument/2006/relationships/hyperlink" Target="https://humantraffickinghotline.org/en/statistics/nebraska" TargetMode="External"/><Relationship Id="rId36" Type="http://schemas.openxmlformats.org/officeDocument/2006/relationships/hyperlink" Target="https://humantraffickinghotline.org/en/statistics/northern-marianas-islands" TargetMode="External"/><Relationship Id="rId49" Type="http://schemas.openxmlformats.org/officeDocument/2006/relationships/hyperlink" Target="https://humantraffickinghotline.org/en/statistics/vermo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D8E8-0665-4FB4-8D1A-BFB52AD79290}">
  <dimension ref="A1:L21"/>
  <sheetViews>
    <sheetView tabSelected="1" zoomScale="120" zoomScaleNormal="120" workbookViewId="0">
      <selection activeCell="B1" sqref="B1"/>
    </sheetView>
  </sheetViews>
  <sheetFormatPr defaultRowHeight="14.4" x14ac:dyDescent="0.3"/>
  <cols>
    <col min="1" max="1" width="23.88671875" customWidth="1"/>
    <col min="2" max="2" width="14.88671875" style="1" customWidth="1"/>
    <col min="3" max="3" width="13.33203125" customWidth="1"/>
    <col min="4" max="4" width="13.109375" customWidth="1"/>
  </cols>
  <sheetData>
    <row r="1" spans="1:5" x14ac:dyDescent="0.3">
      <c r="A1" t="s">
        <v>0</v>
      </c>
      <c r="B1" s="1">
        <f>3498347/14</f>
        <v>249881.92857142858</v>
      </c>
      <c r="C1" t="s">
        <v>2</v>
      </c>
      <c r="D1" t="s">
        <v>3</v>
      </c>
      <c r="E1" t="s">
        <v>4</v>
      </c>
    </row>
    <row r="2" spans="1:5" x14ac:dyDescent="0.3">
      <c r="C2">
        <v>0.308</v>
      </c>
      <c r="D2">
        <v>1</v>
      </c>
      <c r="E2">
        <f>$B$1*C2*D2</f>
        <v>76963.634000000005</v>
      </c>
    </row>
    <row r="3" spans="1:5" x14ac:dyDescent="0.3">
      <c r="A3" t="s">
        <v>5</v>
      </c>
      <c r="B3" s="1">
        <f>SUM(E2:E5)</f>
        <v>1869616.5895714285</v>
      </c>
      <c r="C3">
        <v>0.43</v>
      </c>
      <c r="D3">
        <v>3.5</v>
      </c>
      <c r="E3">
        <f t="shared" ref="E3:E5" si="0">$B$1*C3*D3</f>
        <v>376072.30249999999</v>
      </c>
    </row>
    <row r="4" spans="1:5" x14ac:dyDescent="0.3">
      <c r="A4" t="s">
        <v>6</v>
      </c>
      <c r="B4" s="1">
        <f>B3/12</f>
        <v>155801.38246428571</v>
      </c>
      <c r="C4">
        <v>0.215</v>
      </c>
      <c r="D4">
        <v>15</v>
      </c>
      <c r="E4">
        <f t="shared" si="0"/>
        <v>805869.21964285721</v>
      </c>
    </row>
    <row r="5" spans="1:5" x14ac:dyDescent="0.3">
      <c r="C5">
        <v>4.7E-2</v>
      </c>
      <c r="D5">
        <v>52</v>
      </c>
      <c r="E5">
        <f t="shared" si="0"/>
        <v>610711.43342857144</v>
      </c>
    </row>
    <row r="7" spans="1:5" x14ac:dyDescent="0.3">
      <c r="A7" t="s">
        <v>7</v>
      </c>
      <c r="B7" s="1">
        <f>B1/12</f>
        <v>20823.49404761905</v>
      </c>
    </row>
    <row r="8" spans="1:5" x14ac:dyDescent="0.3">
      <c r="A8" t="s">
        <v>8</v>
      </c>
      <c r="B8" s="1">
        <f>B4/B7</f>
        <v>7.4819999999999993</v>
      </c>
    </row>
    <row r="21" spans="12:12" x14ac:dyDescent="0.3">
      <c r="L2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36EE-8753-4A4D-A515-9BBCB6BA5B6B}">
  <dimension ref="A1:E6"/>
  <sheetViews>
    <sheetView zoomScale="130" zoomScaleNormal="130" workbookViewId="0">
      <selection activeCell="E1" sqref="E1"/>
    </sheetView>
  </sheetViews>
  <sheetFormatPr defaultRowHeight="14.4" x14ac:dyDescent="0.3"/>
  <cols>
    <col min="1" max="1" width="20.6640625" customWidth="1"/>
    <col min="2" max="2" width="13.6640625" style="1" bestFit="1" customWidth="1"/>
    <col min="4" max="4" width="32.5546875" customWidth="1"/>
    <col min="5" max="5" width="13.6640625" bestFit="1" customWidth="1"/>
  </cols>
  <sheetData>
    <row r="1" spans="1:5" x14ac:dyDescent="0.3">
      <c r="A1" t="s">
        <v>9</v>
      </c>
      <c r="B1" s="1">
        <f>1000000*6990000/340100000</f>
        <v>20552.778594531021</v>
      </c>
      <c r="D1" t="s">
        <v>131</v>
      </c>
      <c r="E1" s="7">
        <f>AVERAGE(TraffickingHotline24!M24,TraffickingHotline23!L24,TraffickingHotline22!L23)</f>
        <v>9528.5131846109925</v>
      </c>
    </row>
    <row r="2" spans="1:5" x14ac:dyDescent="0.3">
      <c r="A2" t="s">
        <v>10</v>
      </c>
      <c r="B2" s="1">
        <v>5</v>
      </c>
      <c r="D2" t="s">
        <v>10</v>
      </c>
      <c r="E2" s="1">
        <v>5</v>
      </c>
    </row>
    <row r="3" spans="1:5" x14ac:dyDescent="0.3">
      <c r="A3" t="s">
        <v>11</v>
      </c>
      <c r="B3" s="1">
        <v>5</v>
      </c>
      <c r="D3" t="s">
        <v>11</v>
      </c>
      <c r="E3" s="1">
        <v>5</v>
      </c>
    </row>
    <row r="4" spans="1:5" x14ac:dyDescent="0.3">
      <c r="A4" t="s">
        <v>13</v>
      </c>
      <c r="B4" s="1">
        <f>B1*B2*B3*52</f>
        <v>26718612.172890328</v>
      </c>
      <c r="D4" t="s">
        <v>13</v>
      </c>
      <c r="E4" s="1">
        <f>E1*E2*E3*52</f>
        <v>12387067.139994292</v>
      </c>
    </row>
    <row r="5" spans="1:5" x14ac:dyDescent="0.3">
      <c r="A5" t="s">
        <v>12</v>
      </c>
      <c r="B5" s="22">
        <f>1000000</f>
        <v>1000000</v>
      </c>
      <c r="D5" t="s">
        <v>12</v>
      </c>
      <c r="E5" s="1">
        <f>E4/12</f>
        <v>1032255.5949995243</v>
      </c>
    </row>
    <row r="6" spans="1:5" x14ac:dyDescent="0.3">
      <c r="A6" t="s">
        <v>14</v>
      </c>
      <c r="B6" s="1">
        <f>B5/B1</f>
        <v>48.655221745350502</v>
      </c>
      <c r="D6" t="s">
        <v>14</v>
      </c>
      <c r="E6" s="1">
        <f>E5/E1</f>
        <v>108.33333333333334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C985-4CA5-46AC-A34D-3BFCE46916E9}">
  <dimension ref="A1:AM56"/>
  <sheetViews>
    <sheetView topLeftCell="B1" zoomScale="98" zoomScaleNormal="98" workbookViewId="0">
      <selection activeCell="F71" sqref="F71"/>
    </sheetView>
  </sheetViews>
  <sheetFormatPr defaultRowHeight="14.4" x14ac:dyDescent="0.3"/>
  <cols>
    <col min="1" max="1" width="0" hidden="1" customWidth="1"/>
    <col min="2" max="2" width="16" customWidth="1"/>
    <col min="5" max="5" width="9.88671875" style="5" customWidth="1"/>
    <col min="7" max="7" width="10.88671875" customWidth="1"/>
    <col min="8" max="8" width="0" style="13" hidden="1" customWidth="1"/>
    <col min="9" max="9" width="12.44140625" bestFit="1" customWidth="1"/>
    <col min="11" max="11" width="22.88671875" bestFit="1" customWidth="1"/>
    <col min="12" max="12" width="0" hidden="1" customWidth="1"/>
    <col min="13" max="13" width="15.109375" customWidth="1"/>
  </cols>
  <sheetData>
    <row r="1" spans="1:13" ht="72" x14ac:dyDescent="0.3">
      <c r="B1" s="2" t="s">
        <v>15</v>
      </c>
      <c r="C1" s="2" t="s">
        <v>16</v>
      </c>
      <c r="D1" s="2" t="s">
        <v>17</v>
      </c>
      <c r="E1" s="2" t="s">
        <v>18</v>
      </c>
      <c r="F1" s="8" t="s">
        <v>19</v>
      </c>
      <c r="G1" s="2" t="s">
        <v>126</v>
      </c>
      <c r="H1" s="12" t="s">
        <v>127</v>
      </c>
      <c r="I1" s="2" t="s">
        <v>128</v>
      </c>
      <c r="J1" s="12" t="s">
        <v>129</v>
      </c>
      <c r="K1" s="2" t="str">
        <f>"Difference from proportional (" &amp; TEXT(100/COUNTIF(J$2:J$56,"&lt;&gt;0"),"0.00") &amp; "%)"</f>
        <v>Difference from proportional (1.96%)</v>
      </c>
      <c r="M1" s="23" t="s">
        <v>132</v>
      </c>
    </row>
    <row r="2" spans="1:13" hidden="1" x14ac:dyDescent="0.3">
      <c r="A2" s="10" t="s">
        <v>75</v>
      </c>
      <c r="B2" s="4" t="s">
        <v>20</v>
      </c>
      <c r="C2" s="3">
        <v>231</v>
      </c>
      <c r="D2" s="6">
        <v>7.1000000000000004E-3</v>
      </c>
      <c r="E2" s="3">
        <v>105</v>
      </c>
      <c r="F2" s="6">
        <v>8.8000000000000005E-3</v>
      </c>
      <c r="G2" s="9">
        <v>5157699</v>
      </c>
      <c r="H2" s="13">
        <f>G2/SUM(G$2:G$56)</f>
        <v>1.5164752630691249E-2</v>
      </c>
      <c r="I2">
        <f>E2/G2</f>
        <v>2.0357915419259636E-5</v>
      </c>
      <c r="J2" s="13">
        <f>I2/SUM(I$2:I$56)</f>
        <v>1.2592004258210575E-2</v>
      </c>
      <c r="K2" s="5">
        <f>J2-(1/COUNTIF(J$2:J$56,"&lt;&gt;0"))</f>
        <v>-7.0158388790443268E-3</v>
      </c>
      <c r="M2">
        <f>1000000*J2</f>
        <v>12592.004258210574</v>
      </c>
    </row>
    <row r="3" spans="1:13" hidden="1" x14ac:dyDescent="0.3">
      <c r="A3" s="10" t="s">
        <v>76</v>
      </c>
      <c r="B3" s="4" t="s">
        <v>21</v>
      </c>
      <c r="C3" s="3">
        <v>46</v>
      </c>
      <c r="D3" s="6">
        <v>1.4E-3</v>
      </c>
      <c r="E3" s="3">
        <v>22</v>
      </c>
      <c r="F3" s="6">
        <v>1.8E-3</v>
      </c>
      <c r="G3" s="9">
        <v>740133</v>
      </c>
      <c r="H3" s="13">
        <f t="shared" ref="H3:H56" si="0">G3/SUM(G$2:G$56)</f>
        <v>2.176151392086162E-3</v>
      </c>
      <c r="I3">
        <f t="shared" ref="I3:I56" si="1">E3/G3</f>
        <v>2.9724387373620687E-5</v>
      </c>
      <c r="J3" s="13">
        <f t="shared" ref="J3:J56" si="2">I3/SUM(I$2:I$56)</f>
        <v>1.8385458661805573E-2</v>
      </c>
      <c r="K3" s="5">
        <f t="shared" ref="K3:K56" si="3">J3-(1/COUNTIF(J$2:J$56,"&lt;&gt;0"))</f>
        <v>-1.2223844754493292E-3</v>
      </c>
      <c r="M3">
        <f t="shared" ref="M3:M56" si="4">1000000*J3</f>
        <v>18385.458661805573</v>
      </c>
    </row>
    <row r="4" spans="1:13" hidden="1" x14ac:dyDescent="0.3">
      <c r="A4" s="10" t="s">
        <v>77</v>
      </c>
      <c r="B4" s="4" t="s">
        <v>22</v>
      </c>
      <c r="C4" s="3">
        <v>550</v>
      </c>
      <c r="D4" s="6">
        <v>1.7000000000000001E-2</v>
      </c>
      <c r="E4" s="3">
        <v>300</v>
      </c>
      <c r="F4" s="6">
        <v>2.5000000000000001E-2</v>
      </c>
      <c r="G4" s="9">
        <v>7582384</v>
      </c>
      <c r="H4" s="13">
        <f t="shared" si="0"/>
        <v>2.2293851911658908E-2</v>
      </c>
      <c r="I4">
        <f t="shared" si="1"/>
        <v>3.9565392625854874E-5</v>
      </c>
      <c r="J4" s="13">
        <f t="shared" si="2"/>
        <v>2.44724266783822E-2</v>
      </c>
      <c r="K4" s="5">
        <f t="shared" si="3"/>
        <v>4.8645835411272979E-3</v>
      </c>
      <c r="M4">
        <f t="shared" si="4"/>
        <v>24472.426678382199</v>
      </c>
    </row>
    <row r="5" spans="1:13" hidden="1" x14ac:dyDescent="0.3">
      <c r="A5" s="10" t="s">
        <v>78</v>
      </c>
      <c r="B5" s="4" t="s">
        <v>23</v>
      </c>
      <c r="C5" s="3">
        <v>170</v>
      </c>
      <c r="D5" s="6">
        <v>5.3E-3</v>
      </c>
      <c r="E5" s="3">
        <v>80</v>
      </c>
      <c r="F5" s="6">
        <v>6.7000000000000002E-3</v>
      </c>
      <c r="G5" s="9">
        <v>3088354</v>
      </c>
      <c r="H5" s="13">
        <f t="shared" si="0"/>
        <v>9.0804299448273042E-3</v>
      </c>
      <c r="I5">
        <f t="shared" si="1"/>
        <v>2.5903766213329172E-5</v>
      </c>
      <c r="J5" s="13">
        <f t="shared" si="2"/>
        <v>1.6022285570228313E-2</v>
      </c>
      <c r="K5" s="5">
        <f t="shared" si="3"/>
        <v>-3.5855575670265885E-3</v>
      </c>
      <c r="M5">
        <f t="shared" si="4"/>
        <v>16022.285570228312</v>
      </c>
    </row>
    <row r="6" spans="1:13" hidden="1" x14ac:dyDescent="0.3">
      <c r="A6" s="10" t="s">
        <v>79</v>
      </c>
      <c r="B6" s="4" t="s">
        <v>24</v>
      </c>
      <c r="C6" s="3">
        <v>3378</v>
      </c>
      <c r="D6" s="6">
        <v>0.1046</v>
      </c>
      <c r="E6" s="3">
        <v>1733</v>
      </c>
      <c r="F6" s="6">
        <v>0.1444</v>
      </c>
      <c r="G6" s="9">
        <v>39431263</v>
      </c>
      <c r="H6" s="13">
        <f t="shared" si="0"/>
        <v>0.1159364571896748</v>
      </c>
      <c r="I6">
        <f t="shared" si="1"/>
        <v>4.3949898333208347E-5</v>
      </c>
      <c r="J6" s="13">
        <f t="shared" si="2"/>
        <v>2.7184379911320392E-2</v>
      </c>
      <c r="K6" s="5">
        <f t="shared" si="3"/>
        <v>7.5765367740654906E-3</v>
      </c>
      <c r="M6">
        <f t="shared" si="4"/>
        <v>27184.379911320393</v>
      </c>
    </row>
    <row r="7" spans="1:13" hidden="1" x14ac:dyDescent="0.3">
      <c r="A7" s="10" t="s">
        <v>80</v>
      </c>
      <c r="B7" s="4" t="s">
        <v>25</v>
      </c>
      <c r="C7" s="3">
        <v>465</v>
      </c>
      <c r="D7" s="6">
        <v>1.44E-2</v>
      </c>
      <c r="E7" s="3">
        <v>185</v>
      </c>
      <c r="F7" s="6">
        <v>1.54E-2</v>
      </c>
      <c r="G7" s="9">
        <v>5957493</v>
      </c>
      <c r="H7" s="13">
        <f t="shared" si="0"/>
        <v>1.751632029012835E-2</v>
      </c>
      <c r="I7">
        <f t="shared" si="1"/>
        <v>3.1053330654354106E-5</v>
      </c>
      <c r="J7" s="13">
        <f t="shared" si="2"/>
        <v>1.9207451439812905E-2</v>
      </c>
      <c r="K7" s="5">
        <f t="shared" si="3"/>
        <v>-4.0039169744199646E-4</v>
      </c>
      <c r="M7">
        <f t="shared" si="4"/>
        <v>19207.451439812907</v>
      </c>
    </row>
    <row r="8" spans="1:13" hidden="1" x14ac:dyDescent="0.3">
      <c r="A8" s="10" t="s">
        <v>81</v>
      </c>
      <c r="B8" s="4" t="s">
        <v>26</v>
      </c>
      <c r="C8" s="3">
        <v>167</v>
      </c>
      <c r="D8" s="6">
        <v>5.1999999999999998E-3</v>
      </c>
      <c r="E8" s="3">
        <v>96</v>
      </c>
      <c r="F8" s="6">
        <v>8.0000000000000002E-3</v>
      </c>
      <c r="G8" s="9">
        <v>3675069</v>
      </c>
      <c r="H8" s="13">
        <f t="shared" si="0"/>
        <v>1.0805499174287189E-2</v>
      </c>
      <c r="I8">
        <f t="shared" si="1"/>
        <v>2.6121958526492973E-5</v>
      </c>
      <c r="J8" s="13">
        <f t="shared" si="2"/>
        <v>1.6157244306419353E-2</v>
      </c>
      <c r="K8" s="5">
        <f t="shared" si="3"/>
        <v>-3.4505988308355488E-3</v>
      </c>
      <c r="M8">
        <f t="shared" si="4"/>
        <v>16157.244306419352</v>
      </c>
    </row>
    <row r="9" spans="1:13" hidden="1" x14ac:dyDescent="0.3">
      <c r="A9" s="10" t="s">
        <v>82</v>
      </c>
      <c r="B9" s="4" t="s">
        <v>27</v>
      </c>
      <c r="C9" s="3">
        <v>51</v>
      </c>
      <c r="D9" s="6">
        <v>1.6000000000000001E-3</v>
      </c>
      <c r="E9" s="3">
        <v>32</v>
      </c>
      <c r="F9" s="6">
        <v>2.7000000000000001E-3</v>
      </c>
      <c r="G9" s="9">
        <v>1051917</v>
      </c>
      <c r="H9" s="13">
        <f t="shared" si="0"/>
        <v>3.0928639094718103E-3</v>
      </c>
      <c r="I9">
        <f t="shared" si="1"/>
        <v>3.0420651058971383E-5</v>
      </c>
      <c r="J9" s="13">
        <f t="shared" si="2"/>
        <v>1.881611942005192E-2</v>
      </c>
      <c r="K9" s="5">
        <f t="shared" si="3"/>
        <v>-7.9172371720298215E-4</v>
      </c>
      <c r="M9">
        <f t="shared" si="4"/>
        <v>18816.11942005192</v>
      </c>
    </row>
    <row r="10" spans="1:13" ht="28.8" hidden="1" x14ac:dyDescent="0.3">
      <c r="A10" s="10" t="s">
        <v>83</v>
      </c>
      <c r="B10" s="4" t="s">
        <v>28</v>
      </c>
      <c r="C10" s="3">
        <v>135</v>
      </c>
      <c r="D10" s="6">
        <v>4.1999999999999997E-3</v>
      </c>
      <c r="E10" s="3">
        <v>55</v>
      </c>
      <c r="F10" s="6">
        <v>4.5999999999999999E-3</v>
      </c>
      <c r="G10" s="9">
        <v>702250</v>
      </c>
      <c r="H10" s="13">
        <f t="shared" si="0"/>
        <v>2.0647671635942557E-3</v>
      </c>
      <c r="I10">
        <f t="shared" si="1"/>
        <v>7.8319686721253112E-5</v>
      </c>
      <c r="J10" s="13">
        <f t="shared" si="2"/>
        <v>4.8443163672973098E-2</v>
      </c>
      <c r="K10" s="5">
        <f t="shared" si="3"/>
        <v>2.8835320535718197E-2</v>
      </c>
      <c r="M10">
        <f t="shared" si="4"/>
        <v>48443.163672973096</v>
      </c>
    </row>
    <row r="11" spans="1:13" hidden="1" x14ac:dyDescent="0.3">
      <c r="A11" s="10" t="s">
        <v>84</v>
      </c>
      <c r="B11" s="4" t="s">
        <v>29</v>
      </c>
      <c r="C11" s="3">
        <v>1830</v>
      </c>
      <c r="D11" s="6">
        <v>5.6599999999999998E-2</v>
      </c>
      <c r="E11" s="3">
        <v>832</v>
      </c>
      <c r="F11" s="6">
        <v>6.93E-2</v>
      </c>
      <c r="G11" s="9">
        <v>23372215</v>
      </c>
      <c r="H11" s="13">
        <f t="shared" si="0"/>
        <v>6.8719376393684764E-2</v>
      </c>
      <c r="I11">
        <f t="shared" si="1"/>
        <v>3.5597824168569388E-5</v>
      </c>
      <c r="J11" s="13">
        <f t="shared" si="2"/>
        <v>2.2018362110375573E-2</v>
      </c>
      <c r="K11" s="5">
        <f t="shared" si="3"/>
        <v>2.4105189731206712E-3</v>
      </c>
      <c r="M11">
        <f t="shared" si="4"/>
        <v>22018.362110375572</v>
      </c>
    </row>
    <row r="12" spans="1:13" hidden="1" x14ac:dyDescent="0.3">
      <c r="A12" s="10" t="s">
        <v>85</v>
      </c>
      <c r="B12" s="4" t="s">
        <v>30</v>
      </c>
      <c r="C12" s="3">
        <v>876</v>
      </c>
      <c r="D12" s="6">
        <v>2.7099999999999999E-2</v>
      </c>
      <c r="E12" s="3">
        <v>342</v>
      </c>
      <c r="F12" s="6">
        <v>2.8500000000000001E-2</v>
      </c>
      <c r="G12" s="9">
        <v>11180878</v>
      </c>
      <c r="H12" s="13">
        <f t="shared" si="0"/>
        <v>3.287420399366809E-2</v>
      </c>
      <c r="I12">
        <f t="shared" si="1"/>
        <v>3.058793772725183E-5</v>
      </c>
      <c r="J12" s="13">
        <f t="shared" si="2"/>
        <v>1.8919591430616244E-2</v>
      </c>
      <c r="K12" s="5">
        <f t="shared" si="3"/>
        <v>-6.8825170663865815E-4</v>
      </c>
      <c r="M12">
        <f t="shared" si="4"/>
        <v>18919.591430616245</v>
      </c>
    </row>
    <row r="13" spans="1:13" hidden="1" x14ac:dyDescent="0.3">
      <c r="A13" s="11"/>
      <c r="B13" s="4" t="s">
        <v>31</v>
      </c>
      <c r="C13" s="3">
        <v>0</v>
      </c>
      <c r="D13" s="6">
        <v>0</v>
      </c>
      <c r="E13" s="3">
        <v>0</v>
      </c>
      <c r="F13" s="6">
        <v>0</v>
      </c>
      <c r="G13" s="9"/>
      <c r="H13" s="13">
        <f t="shared" si="0"/>
        <v>0</v>
      </c>
      <c r="J13" s="13">
        <f t="shared" si="2"/>
        <v>0</v>
      </c>
      <c r="K13" s="5">
        <f t="shared" si="3"/>
        <v>-1.9607843137254902E-2</v>
      </c>
      <c r="M13">
        <f t="shared" si="4"/>
        <v>0</v>
      </c>
    </row>
    <row r="14" spans="1:13" hidden="1" x14ac:dyDescent="0.3">
      <c r="A14" s="10" t="s">
        <v>86</v>
      </c>
      <c r="B14" s="4" t="s">
        <v>32</v>
      </c>
      <c r="C14" s="3">
        <v>161</v>
      </c>
      <c r="D14" s="6">
        <v>5.0000000000000001E-3</v>
      </c>
      <c r="E14" s="3">
        <v>55</v>
      </c>
      <c r="F14" s="6">
        <v>4.5999999999999999E-3</v>
      </c>
      <c r="G14" s="9">
        <v>1446146</v>
      </c>
      <c r="H14" s="13">
        <f t="shared" si="0"/>
        <v>4.251982591047602E-3</v>
      </c>
      <c r="I14">
        <f t="shared" si="1"/>
        <v>3.8032121238104589E-5</v>
      </c>
      <c r="J14" s="13">
        <f t="shared" si="2"/>
        <v>2.3524050607162322E-2</v>
      </c>
      <c r="K14" s="5">
        <f t="shared" si="3"/>
        <v>3.9162074699074199E-3</v>
      </c>
      <c r="M14">
        <f t="shared" si="4"/>
        <v>23524.05060716232</v>
      </c>
    </row>
    <row r="15" spans="1:13" hidden="1" x14ac:dyDescent="0.3">
      <c r="A15" s="10" t="s">
        <v>87</v>
      </c>
      <c r="B15" s="4" t="s">
        <v>33</v>
      </c>
      <c r="C15" s="3">
        <v>72</v>
      </c>
      <c r="D15" s="6">
        <v>2.2000000000000001E-3</v>
      </c>
      <c r="E15" s="3">
        <v>32</v>
      </c>
      <c r="F15" s="6">
        <v>2.7000000000000001E-3</v>
      </c>
      <c r="G15" s="9">
        <v>2001619</v>
      </c>
      <c r="H15" s="13">
        <f t="shared" si="0"/>
        <v>5.885193570988068E-3</v>
      </c>
      <c r="I15">
        <f t="shared" si="1"/>
        <v>1.5987058476163545E-5</v>
      </c>
      <c r="J15" s="13">
        <f t="shared" si="2"/>
        <v>9.8884932107372869E-3</v>
      </c>
      <c r="K15" s="5">
        <f t="shared" si="3"/>
        <v>-9.7193499265176148E-3</v>
      </c>
      <c r="M15">
        <f t="shared" si="4"/>
        <v>9888.4932107372861</v>
      </c>
    </row>
    <row r="16" spans="1:13" hidden="1" x14ac:dyDescent="0.3">
      <c r="A16" s="10" t="s">
        <v>88</v>
      </c>
      <c r="B16" s="4" t="s">
        <v>34</v>
      </c>
      <c r="C16" s="3">
        <v>792</v>
      </c>
      <c r="D16" s="6">
        <v>2.4500000000000001E-2</v>
      </c>
      <c r="E16" s="3">
        <v>385</v>
      </c>
      <c r="F16" s="6">
        <v>3.2099999999999997E-2</v>
      </c>
      <c r="G16" s="9">
        <v>12710158</v>
      </c>
      <c r="H16" s="13">
        <f t="shared" si="0"/>
        <v>3.7370618558198419E-2</v>
      </c>
      <c r="I16">
        <f t="shared" si="1"/>
        <v>3.0290732813864311E-5</v>
      </c>
      <c r="J16" s="13">
        <f t="shared" si="2"/>
        <v>1.8735760942186361E-2</v>
      </c>
      <c r="K16" s="5">
        <f t="shared" si="3"/>
        <v>-8.720821950685409E-4</v>
      </c>
      <c r="M16">
        <f t="shared" si="4"/>
        <v>18735.76094218636</v>
      </c>
    </row>
    <row r="17" spans="1:39" hidden="1" x14ac:dyDescent="0.3">
      <c r="A17" s="10" t="s">
        <v>89</v>
      </c>
      <c r="B17" s="4" t="s">
        <v>35</v>
      </c>
      <c r="C17" s="3">
        <v>293</v>
      </c>
      <c r="D17" s="6">
        <v>9.1000000000000004E-3</v>
      </c>
      <c r="E17" s="3">
        <v>154</v>
      </c>
      <c r="F17" s="6">
        <v>1.2800000000000001E-2</v>
      </c>
      <c r="G17" s="9">
        <v>6924275</v>
      </c>
      <c r="H17" s="13">
        <f t="shared" si="0"/>
        <v>2.0358868852540572E-2</v>
      </c>
      <c r="I17">
        <f t="shared" si="1"/>
        <v>2.2240595585819453E-5</v>
      </c>
      <c r="J17" s="13">
        <f t="shared" si="2"/>
        <v>1.3756500533292946E-2</v>
      </c>
      <c r="K17" s="5">
        <f t="shared" si="3"/>
        <v>-5.8513426039619558E-3</v>
      </c>
      <c r="M17">
        <f t="shared" si="4"/>
        <v>13756.500533292947</v>
      </c>
    </row>
    <row r="18" spans="1:39" hidden="1" x14ac:dyDescent="0.3">
      <c r="A18" s="10" t="s">
        <v>90</v>
      </c>
      <c r="B18" s="4" t="s">
        <v>36</v>
      </c>
      <c r="C18" s="3">
        <v>166</v>
      </c>
      <c r="D18" s="6">
        <v>5.1000000000000004E-3</v>
      </c>
      <c r="E18" s="3">
        <v>88</v>
      </c>
      <c r="F18" s="6">
        <v>7.3000000000000001E-3</v>
      </c>
      <c r="G18" s="9">
        <v>3241488</v>
      </c>
      <c r="H18" s="13">
        <f t="shared" si="0"/>
        <v>9.5306770859164367E-3</v>
      </c>
      <c r="I18">
        <f t="shared" si="1"/>
        <v>2.7148025844920603E-5</v>
      </c>
      <c r="J18" s="13">
        <f t="shared" si="2"/>
        <v>1.6791898875748598E-2</v>
      </c>
      <c r="K18" s="5">
        <f t="shared" si="3"/>
        <v>-2.8159442615063035E-3</v>
      </c>
      <c r="M18">
        <f t="shared" si="4"/>
        <v>16791.898875748597</v>
      </c>
    </row>
    <row r="19" spans="1:39" hidden="1" x14ac:dyDescent="0.3">
      <c r="A19" s="10" t="s">
        <v>91</v>
      </c>
      <c r="B19" s="4" t="s">
        <v>37</v>
      </c>
      <c r="C19" s="3">
        <v>198</v>
      </c>
      <c r="D19" s="6">
        <v>6.1000000000000004E-3</v>
      </c>
      <c r="E19" s="3">
        <v>126</v>
      </c>
      <c r="F19" s="6">
        <v>1.0500000000000001E-2</v>
      </c>
      <c r="G19" s="9">
        <v>2970606</v>
      </c>
      <c r="H19" s="13">
        <f t="shared" si="0"/>
        <v>8.7342253111798909E-3</v>
      </c>
      <c r="I19">
        <f t="shared" si="1"/>
        <v>4.2415587930543462E-5</v>
      </c>
      <c r="J19" s="13">
        <f t="shared" si="2"/>
        <v>2.6235361177040003E-2</v>
      </c>
      <c r="K19" s="5">
        <f t="shared" si="3"/>
        <v>6.6275180397851012E-3</v>
      </c>
      <c r="M19">
        <f t="shared" si="4"/>
        <v>26235.361177040002</v>
      </c>
    </row>
    <row r="20" spans="1:39" hidden="1" x14ac:dyDescent="0.3">
      <c r="A20" s="10" t="s">
        <v>92</v>
      </c>
      <c r="B20" s="4" t="s">
        <v>38</v>
      </c>
      <c r="C20" s="3">
        <v>278</v>
      </c>
      <c r="D20" s="6">
        <v>8.6E-3</v>
      </c>
      <c r="E20" s="3">
        <v>139</v>
      </c>
      <c r="F20" s="6">
        <v>1.1599999999999999E-2</v>
      </c>
      <c r="G20" s="9">
        <v>4588372</v>
      </c>
      <c r="H20" s="13">
        <f t="shared" si="0"/>
        <v>1.3490807888864796E-2</v>
      </c>
      <c r="I20">
        <f t="shared" si="1"/>
        <v>3.0293969189943622E-5</v>
      </c>
      <c r="J20" s="13">
        <f t="shared" si="2"/>
        <v>1.8737762741512697E-2</v>
      </c>
      <c r="K20" s="5">
        <f t="shared" si="3"/>
        <v>-8.7008039574220514E-4</v>
      </c>
      <c r="M20">
        <f t="shared" si="4"/>
        <v>18737.762741512695</v>
      </c>
    </row>
    <row r="21" spans="1:39" hidden="1" x14ac:dyDescent="0.3">
      <c r="A21" s="10" t="s">
        <v>93</v>
      </c>
      <c r="B21" s="4" t="s">
        <v>39</v>
      </c>
      <c r="C21" s="3">
        <v>266</v>
      </c>
      <c r="D21" s="6">
        <v>8.2000000000000007E-3</v>
      </c>
      <c r="E21" s="3">
        <v>133</v>
      </c>
      <c r="F21" s="6">
        <v>1.11E-2</v>
      </c>
      <c r="G21" s="9">
        <v>4597740</v>
      </c>
      <c r="H21" s="13">
        <f t="shared" si="0"/>
        <v>1.3518351838723894E-2</v>
      </c>
      <c r="I21">
        <f t="shared" si="1"/>
        <v>2.8927255564690479E-5</v>
      </c>
      <c r="J21" s="13">
        <f t="shared" si="2"/>
        <v>1.7892407829945438E-2</v>
      </c>
      <c r="K21" s="5">
        <f t="shared" si="3"/>
        <v>-1.7154353073094639E-3</v>
      </c>
      <c r="M21">
        <f t="shared" si="4"/>
        <v>17892.407829945438</v>
      </c>
    </row>
    <row r="22" spans="1:39" hidden="1" x14ac:dyDescent="0.3">
      <c r="A22" s="10" t="s">
        <v>94</v>
      </c>
      <c r="B22" s="4" t="s">
        <v>40</v>
      </c>
      <c r="C22" s="3">
        <v>88</v>
      </c>
      <c r="D22" s="6">
        <v>2.7000000000000001E-3</v>
      </c>
      <c r="E22" s="3">
        <v>41</v>
      </c>
      <c r="F22" s="6">
        <v>3.3999999999999998E-3</v>
      </c>
      <c r="G22" s="9">
        <v>1405012</v>
      </c>
      <c r="H22" s="13">
        <f t="shared" si="0"/>
        <v>4.1310397181287184E-3</v>
      </c>
      <c r="I22">
        <f t="shared" si="1"/>
        <v>2.9181245427085319E-5</v>
      </c>
      <c r="J22" s="13">
        <f t="shared" si="2"/>
        <v>1.804950846441376E-2</v>
      </c>
      <c r="K22" s="5">
        <f t="shared" si="3"/>
        <v>-1.5583346728411419E-3</v>
      </c>
      <c r="M22">
        <f t="shared" si="4"/>
        <v>18049.508464413761</v>
      </c>
    </row>
    <row r="23" spans="1:39" hidden="1" x14ac:dyDescent="0.3">
      <c r="A23" s="10" t="s">
        <v>95</v>
      </c>
      <c r="B23" s="4" t="s">
        <v>41</v>
      </c>
      <c r="C23" s="3">
        <v>358</v>
      </c>
      <c r="D23" s="6">
        <v>1.11E-2</v>
      </c>
      <c r="E23" s="3">
        <v>179</v>
      </c>
      <c r="F23" s="6">
        <v>1.49E-2</v>
      </c>
      <c r="G23" s="9">
        <v>6263220</v>
      </c>
      <c r="H23" s="13">
        <f t="shared" si="0"/>
        <v>1.8415223915082685E-2</v>
      </c>
      <c r="I23">
        <f t="shared" si="1"/>
        <v>2.8579548538930453E-5</v>
      </c>
      <c r="J23" s="13">
        <f t="shared" si="2"/>
        <v>1.7677340213305383E-2</v>
      </c>
      <c r="K23" s="5">
        <f t="shared" si="3"/>
        <v>-1.9305029239495182E-3</v>
      </c>
      <c r="M23">
        <f t="shared" si="4"/>
        <v>17677.340213305382</v>
      </c>
    </row>
    <row r="24" spans="1:39" s="20" customFormat="1" x14ac:dyDescent="0.3">
      <c r="A24" s="14" t="s">
        <v>96</v>
      </c>
      <c r="B24" s="15" t="s">
        <v>42</v>
      </c>
      <c r="C24" s="16">
        <v>288</v>
      </c>
      <c r="D24" s="17">
        <v>8.8999999999999999E-3</v>
      </c>
      <c r="E24" s="16">
        <v>115</v>
      </c>
      <c r="F24" s="17">
        <v>9.5999999999999992E-3</v>
      </c>
      <c r="G24" s="18">
        <v>7136171</v>
      </c>
      <c r="H24" s="19">
        <f t="shared" si="0"/>
        <v>2.098188900618524E-2</v>
      </c>
      <c r="I24" s="20">
        <f t="shared" si="1"/>
        <v>1.6115084686171338E-5</v>
      </c>
      <c r="J24" s="19">
        <f t="shared" si="2"/>
        <v>9.9676814060107345E-3</v>
      </c>
      <c r="K24" s="21">
        <f t="shared" si="3"/>
        <v>-9.6401617312441672E-3</v>
      </c>
      <c r="M24" s="23">
        <f t="shared" si="4"/>
        <v>9967.6814060107354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hidden="1" x14ac:dyDescent="0.3">
      <c r="A25" s="10" t="s">
        <v>97</v>
      </c>
      <c r="B25" s="4" t="s">
        <v>43</v>
      </c>
      <c r="C25" s="3">
        <v>764</v>
      </c>
      <c r="D25" s="6">
        <v>2.3599999999999999E-2</v>
      </c>
      <c r="E25" s="3">
        <v>340</v>
      </c>
      <c r="F25" s="6">
        <v>2.8299999999999999E-2</v>
      </c>
      <c r="G25" s="9">
        <v>10140459</v>
      </c>
      <c r="H25" s="13">
        <f t="shared" si="0"/>
        <v>2.9815146695583973E-2</v>
      </c>
      <c r="I25">
        <f t="shared" si="1"/>
        <v>3.3529054256814214E-5</v>
      </c>
      <c r="J25" s="13">
        <f t="shared" si="2"/>
        <v>2.0738763536474709E-2</v>
      </c>
      <c r="K25" s="5">
        <f t="shared" si="3"/>
        <v>1.1309203992198071E-3</v>
      </c>
      <c r="M25">
        <f t="shared" si="4"/>
        <v>20738.763536474708</v>
      </c>
    </row>
    <row r="26" spans="1:39" hidden="1" x14ac:dyDescent="0.3">
      <c r="A26" s="10" t="s">
        <v>98</v>
      </c>
      <c r="B26" s="4" t="s">
        <v>44</v>
      </c>
      <c r="C26" s="3">
        <v>229</v>
      </c>
      <c r="D26" s="6">
        <v>7.1000000000000004E-3</v>
      </c>
      <c r="E26" s="3">
        <v>83</v>
      </c>
      <c r="F26" s="6">
        <v>6.8999999999999999E-3</v>
      </c>
      <c r="G26" s="9">
        <v>5793151</v>
      </c>
      <c r="H26" s="13">
        <f t="shared" si="0"/>
        <v>1.7033119200488753E-2</v>
      </c>
      <c r="I26">
        <f t="shared" si="1"/>
        <v>1.4327263349427626E-5</v>
      </c>
      <c r="J26" s="13">
        <f t="shared" si="2"/>
        <v>8.8618582693305026E-3</v>
      </c>
      <c r="K26" s="5">
        <f t="shared" si="3"/>
        <v>-1.0745984867924399E-2</v>
      </c>
      <c r="M26">
        <f t="shared" si="4"/>
        <v>8861.8582693305034</v>
      </c>
    </row>
    <row r="27" spans="1:39" hidden="1" x14ac:dyDescent="0.3">
      <c r="A27" s="10" t="s">
        <v>99</v>
      </c>
      <c r="B27" s="4" t="s">
        <v>45</v>
      </c>
      <c r="C27" s="3">
        <v>303</v>
      </c>
      <c r="D27" s="6">
        <v>9.4000000000000004E-3</v>
      </c>
      <c r="E27" s="3">
        <v>195</v>
      </c>
      <c r="F27" s="6">
        <v>1.6299999999999999E-2</v>
      </c>
      <c r="G27" s="9">
        <v>2943045</v>
      </c>
      <c r="H27" s="13">
        <f t="shared" si="0"/>
        <v>8.6531899992598887E-3</v>
      </c>
      <c r="I27">
        <f t="shared" si="1"/>
        <v>6.6257906352094518E-5</v>
      </c>
      <c r="J27" s="13">
        <f t="shared" si="2"/>
        <v>4.098257713244953E-2</v>
      </c>
      <c r="K27" s="5">
        <f t="shared" si="3"/>
        <v>2.1374733995194628E-2</v>
      </c>
      <c r="M27">
        <f t="shared" si="4"/>
        <v>40982.577132449529</v>
      </c>
    </row>
    <row r="28" spans="1:39" hidden="1" x14ac:dyDescent="0.3">
      <c r="A28" s="10" t="s">
        <v>100</v>
      </c>
      <c r="B28" s="4" t="s">
        <v>46</v>
      </c>
      <c r="C28" s="3">
        <v>696</v>
      </c>
      <c r="D28" s="6">
        <v>2.1499999999999998E-2</v>
      </c>
      <c r="E28" s="3">
        <v>272</v>
      </c>
      <c r="F28" s="6">
        <v>2.2700000000000001E-2</v>
      </c>
      <c r="G28" s="9">
        <v>6245466</v>
      </c>
      <c r="H28" s="13">
        <f t="shared" si="0"/>
        <v>1.8363023308144339E-2</v>
      </c>
      <c r="I28">
        <f t="shared" si="1"/>
        <v>4.3551594068400982E-5</v>
      </c>
      <c r="J28" s="13">
        <f t="shared" si="2"/>
        <v>2.6938016327661289E-2</v>
      </c>
      <c r="K28" s="5">
        <f t="shared" si="3"/>
        <v>7.3301731904063874E-3</v>
      </c>
      <c r="M28">
        <f t="shared" si="4"/>
        <v>26938.016327661288</v>
      </c>
    </row>
    <row r="29" spans="1:39" hidden="1" x14ac:dyDescent="0.3">
      <c r="A29" s="10" t="s">
        <v>101</v>
      </c>
      <c r="B29" s="4" t="s">
        <v>47</v>
      </c>
      <c r="C29" s="3">
        <v>84</v>
      </c>
      <c r="D29" s="6">
        <v>2.5999999999999999E-3</v>
      </c>
      <c r="E29" s="3">
        <v>43</v>
      </c>
      <c r="F29" s="6">
        <v>3.5999999999999999E-3</v>
      </c>
      <c r="G29" s="9">
        <v>1137233</v>
      </c>
      <c r="H29" s="13">
        <f t="shared" si="0"/>
        <v>3.343711435750497E-3</v>
      </c>
      <c r="I29">
        <f t="shared" si="1"/>
        <v>3.7811073016699303E-5</v>
      </c>
      <c r="J29" s="13">
        <f t="shared" si="2"/>
        <v>2.3387325402843415E-2</v>
      </c>
      <c r="K29" s="5">
        <f t="shared" si="3"/>
        <v>3.7794822655885137E-3</v>
      </c>
      <c r="M29">
        <f t="shared" si="4"/>
        <v>23387.325402843417</v>
      </c>
    </row>
    <row r="30" spans="1:39" hidden="1" x14ac:dyDescent="0.3">
      <c r="A30" s="10" t="s">
        <v>102</v>
      </c>
      <c r="B30" s="4" t="s">
        <v>48</v>
      </c>
      <c r="C30" s="3">
        <v>148</v>
      </c>
      <c r="D30" s="6">
        <v>4.5999999999999999E-3</v>
      </c>
      <c r="E30" s="3">
        <v>71</v>
      </c>
      <c r="F30" s="6">
        <v>5.8999999999999999E-3</v>
      </c>
      <c r="G30" s="9">
        <v>2005465</v>
      </c>
      <c r="H30" s="13">
        <f t="shared" si="0"/>
        <v>5.8965016443396998E-3</v>
      </c>
      <c r="I30">
        <f t="shared" si="1"/>
        <v>3.5403260590436633E-5</v>
      </c>
      <c r="J30" s="13">
        <f t="shared" si="2"/>
        <v>2.1898018482165851E-2</v>
      </c>
      <c r="K30" s="5">
        <f t="shared" si="3"/>
        <v>2.290175344910949E-3</v>
      </c>
      <c r="M30">
        <f t="shared" si="4"/>
        <v>21898.018482165851</v>
      </c>
    </row>
    <row r="31" spans="1:39" hidden="1" x14ac:dyDescent="0.3">
      <c r="A31" s="10" t="s">
        <v>103</v>
      </c>
      <c r="B31" s="4" t="s">
        <v>49</v>
      </c>
      <c r="C31" s="3">
        <v>418</v>
      </c>
      <c r="D31" s="6">
        <v>1.29E-2</v>
      </c>
      <c r="E31" s="3">
        <v>236</v>
      </c>
      <c r="F31" s="6">
        <v>1.9699999999999999E-2</v>
      </c>
      <c r="G31" s="9">
        <v>3267467</v>
      </c>
      <c r="H31" s="13">
        <f t="shared" si="0"/>
        <v>9.6070609750485338E-3</v>
      </c>
      <c r="I31">
        <f t="shared" si="1"/>
        <v>7.2227202294621495E-5</v>
      </c>
      <c r="J31" s="13">
        <f t="shared" si="2"/>
        <v>4.4674772447089089E-2</v>
      </c>
      <c r="K31" s="5">
        <f t="shared" si="3"/>
        <v>2.5066929309834188E-2</v>
      </c>
      <c r="M31">
        <f t="shared" si="4"/>
        <v>44674.77244708909</v>
      </c>
    </row>
    <row r="32" spans="1:39" hidden="1" x14ac:dyDescent="0.3">
      <c r="A32" s="10" t="s">
        <v>104</v>
      </c>
      <c r="B32" s="4" t="s">
        <v>50</v>
      </c>
      <c r="C32" s="3">
        <v>45</v>
      </c>
      <c r="D32" s="6">
        <v>1.4E-3</v>
      </c>
      <c r="E32" s="3">
        <v>22</v>
      </c>
      <c r="F32" s="6">
        <v>1.8E-3</v>
      </c>
      <c r="G32" s="9">
        <v>1409032</v>
      </c>
      <c r="H32" s="13">
        <f t="shared" si="0"/>
        <v>4.1428593891826865E-3</v>
      </c>
      <c r="I32">
        <f t="shared" si="1"/>
        <v>1.5613555973178751E-5</v>
      </c>
      <c r="J32" s="13">
        <f t="shared" si="2"/>
        <v>9.657470288636557E-3</v>
      </c>
      <c r="K32" s="5">
        <f t="shared" si="3"/>
        <v>-9.9503728486183447E-3</v>
      </c>
      <c r="M32">
        <f t="shared" si="4"/>
        <v>9657.4702886365576</v>
      </c>
    </row>
    <row r="33" spans="1:13" hidden="1" x14ac:dyDescent="0.3">
      <c r="A33" s="10" t="s">
        <v>105</v>
      </c>
      <c r="B33" s="4" t="s">
        <v>51</v>
      </c>
      <c r="C33" s="3">
        <v>884</v>
      </c>
      <c r="D33" s="6">
        <v>2.7400000000000001E-2</v>
      </c>
      <c r="E33" s="3">
        <v>269</v>
      </c>
      <c r="F33" s="6">
        <v>2.24E-2</v>
      </c>
      <c r="G33" s="9">
        <v>9500851</v>
      </c>
      <c r="H33" s="13">
        <f t="shared" si="0"/>
        <v>2.7934560585264008E-2</v>
      </c>
      <c r="I33">
        <f t="shared" si="1"/>
        <v>2.8313253202265776E-5</v>
      </c>
      <c r="J33" s="13">
        <f t="shared" si="2"/>
        <v>1.7512628260034815E-2</v>
      </c>
      <c r="K33" s="5">
        <f t="shared" si="3"/>
        <v>-2.0952148772200863E-3</v>
      </c>
      <c r="M33">
        <f t="shared" si="4"/>
        <v>17512.628260034817</v>
      </c>
    </row>
    <row r="34" spans="1:13" hidden="1" x14ac:dyDescent="0.3">
      <c r="A34" s="10" t="s">
        <v>106</v>
      </c>
      <c r="B34" s="4" t="s">
        <v>52</v>
      </c>
      <c r="C34" s="3">
        <v>143</v>
      </c>
      <c r="D34" s="6">
        <v>4.4000000000000003E-3</v>
      </c>
      <c r="E34" s="3">
        <v>78</v>
      </c>
      <c r="F34" s="6">
        <v>6.4999999999999997E-3</v>
      </c>
      <c r="G34" s="9">
        <v>2130256</v>
      </c>
      <c r="H34" s="13">
        <f t="shared" si="0"/>
        <v>6.2634142240649985E-3</v>
      </c>
      <c r="I34">
        <f t="shared" si="1"/>
        <v>3.66153175956317E-5</v>
      </c>
      <c r="J34" s="13">
        <f t="shared" si="2"/>
        <v>2.2647713461061942E-2</v>
      </c>
      <c r="K34" s="5">
        <f t="shared" si="3"/>
        <v>3.0398703238070403E-3</v>
      </c>
      <c r="M34">
        <f t="shared" si="4"/>
        <v>22647.713461061943</v>
      </c>
    </row>
    <row r="35" spans="1:13" hidden="1" x14ac:dyDescent="0.3">
      <c r="A35" s="10" t="s">
        <v>107</v>
      </c>
      <c r="B35" s="4" t="s">
        <v>53</v>
      </c>
      <c r="C35" s="3">
        <v>1191</v>
      </c>
      <c r="D35" s="6">
        <v>3.6900000000000002E-2</v>
      </c>
      <c r="E35" s="3">
        <v>570</v>
      </c>
      <c r="F35" s="6">
        <v>4.7500000000000001E-2</v>
      </c>
      <c r="G35" s="9">
        <v>19867248</v>
      </c>
      <c r="H35" s="13">
        <f t="shared" si="0"/>
        <v>5.8414013957114493E-2</v>
      </c>
      <c r="I35">
        <f t="shared" si="1"/>
        <v>2.869043563557469E-5</v>
      </c>
      <c r="J35" s="13">
        <f t="shared" si="2"/>
        <v>1.7745927333566423E-2</v>
      </c>
      <c r="K35" s="5">
        <f t="shared" si="3"/>
        <v>-1.8619158036884791E-3</v>
      </c>
      <c r="M35">
        <f t="shared" si="4"/>
        <v>17745.927333566422</v>
      </c>
    </row>
    <row r="36" spans="1:13" hidden="1" x14ac:dyDescent="0.3">
      <c r="A36" s="10" t="s">
        <v>108</v>
      </c>
      <c r="B36" s="4" t="s">
        <v>54</v>
      </c>
      <c r="C36" s="3">
        <v>638</v>
      </c>
      <c r="D36" s="6">
        <v>1.9699999999999999E-2</v>
      </c>
      <c r="E36" s="3">
        <v>301</v>
      </c>
      <c r="F36" s="6">
        <v>2.5100000000000001E-2</v>
      </c>
      <c r="G36" s="9">
        <v>11046024</v>
      </c>
      <c r="H36" s="13">
        <f t="shared" si="0"/>
        <v>3.2477704013491031E-2</v>
      </c>
      <c r="I36">
        <f t="shared" si="1"/>
        <v>2.7249623937083605E-5</v>
      </c>
      <c r="J36" s="13">
        <f t="shared" si="2"/>
        <v>1.6854740457649085E-2</v>
      </c>
      <c r="K36" s="5">
        <f t="shared" si="3"/>
        <v>-2.7531026796058164E-3</v>
      </c>
      <c r="M36">
        <f t="shared" si="4"/>
        <v>16854.740457649084</v>
      </c>
    </row>
    <row r="37" spans="1:13" hidden="1" x14ac:dyDescent="0.3">
      <c r="A37" s="10" t="s">
        <v>109</v>
      </c>
      <c r="B37" s="4" t="s">
        <v>55</v>
      </c>
      <c r="C37" s="3">
        <v>44</v>
      </c>
      <c r="D37" s="6">
        <v>1.4E-3</v>
      </c>
      <c r="E37" s="3">
        <v>21</v>
      </c>
      <c r="F37" s="6">
        <v>1.8E-3</v>
      </c>
      <c r="G37" s="9">
        <v>796568</v>
      </c>
      <c r="H37" s="13">
        <f t="shared" si="0"/>
        <v>2.342082520427126E-3</v>
      </c>
      <c r="I37">
        <f t="shared" si="1"/>
        <v>2.6363097689086178E-5</v>
      </c>
      <c r="J37" s="13">
        <f t="shared" si="2"/>
        <v>1.6306396383125712E-2</v>
      </c>
      <c r="K37" s="5">
        <f t="shared" si="3"/>
        <v>-3.3014467541291892E-3</v>
      </c>
      <c r="M37">
        <f t="shared" si="4"/>
        <v>16306.396383125713</v>
      </c>
    </row>
    <row r="38" spans="1:13" ht="28.8" hidden="1" x14ac:dyDescent="0.3">
      <c r="A38" s="11"/>
      <c r="B38" s="4" t="s">
        <v>56</v>
      </c>
      <c r="C38" s="3">
        <v>0</v>
      </c>
      <c r="D38" s="6">
        <v>0</v>
      </c>
      <c r="E38" s="3">
        <v>0</v>
      </c>
      <c r="F38" s="6">
        <v>0</v>
      </c>
      <c r="G38" s="9"/>
      <c r="H38" s="13">
        <f t="shared" si="0"/>
        <v>0</v>
      </c>
      <c r="J38" s="13">
        <f t="shared" si="2"/>
        <v>0</v>
      </c>
      <c r="K38" s="5">
        <f t="shared" si="3"/>
        <v>-1.9607843137254902E-2</v>
      </c>
      <c r="M38">
        <f t="shared" si="4"/>
        <v>0</v>
      </c>
    </row>
    <row r="39" spans="1:13" hidden="1" x14ac:dyDescent="0.3">
      <c r="A39" s="10" t="s">
        <v>110</v>
      </c>
      <c r="B39" s="4" t="s">
        <v>57</v>
      </c>
      <c r="C39" s="3">
        <v>671</v>
      </c>
      <c r="D39" s="6">
        <v>2.0799999999999999E-2</v>
      </c>
      <c r="E39" s="3">
        <v>334</v>
      </c>
      <c r="F39" s="6">
        <v>2.7799999999999998E-2</v>
      </c>
      <c r="G39" s="9">
        <v>11883304</v>
      </c>
      <c r="H39" s="13">
        <f t="shared" si="0"/>
        <v>3.4939488635398044E-2</v>
      </c>
      <c r="I39">
        <f t="shared" si="1"/>
        <v>2.8106661245054407E-5</v>
      </c>
      <c r="J39" s="13">
        <f t="shared" si="2"/>
        <v>1.7384844705022277E-2</v>
      </c>
      <c r="K39" s="5">
        <f t="shared" si="3"/>
        <v>-2.222998432232625E-3</v>
      </c>
      <c r="M39">
        <f t="shared" si="4"/>
        <v>17384.844705022275</v>
      </c>
    </row>
    <row r="40" spans="1:13" hidden="1" x14ac:dyDescent="0.3">
      <c r="A40" s="10" t="s">
        <v>111</v>
      </c>
      <c r="B40" s="4" t="s">
        <v>58</v>
      </c>
      <c r="C40" s="3">
        <v>255</v>
      </c>
      <c r="D40" s="6">
        <v>7.9000000000000008E-3</v>
      </c>
      <c r="E40" s="3">
        <v>125</v>
      </c>
      <c r="F40" s="6">
        <v>1.04E-2</v>
      </c>
      <c r="G40" s="9">
        <v>4095393</v>
      </c>
      <c r="H40" s="13">
        <f t="shared" si="0"/>
        <v>1.2041342810129968E-2</v>
      </c>
      <c r="I40">
        <f t="shared" si="1"/>
        <v>3.0522101297726497E-5</v>
      </c>
      <c r="J40" s="13">
        <f t="shared" si="2"/>
        <v>1.887886955001819E-2</v>
      </c>
      <c r="K40" s="5">
        <f t="shared" si="3"/>
        <v>-7.2897358723671146E-4</v>
      </c>
      <c r="M40">
        <f t="shared" si="4"/>
        <v>18878.869550018189</v>
      </c>
    </row>
    <row r="41" spans="1:13" hidden="1" x14ac:dyDescent="0.3">
      <c r="A41" s="10" t="s">
        <v>112</v>
      </c>
      <c r="B41" s="4" t="s">
        <v>59</v>
      </c>
      <c r="C41" s="3">
        <v>368</v>
      </c>
      <c r="D41" s="6">
        <v>1.14E-2</v>
      </c>
      <c r="E41" s="3">
        <v>160</v>
      </c>
      <c r="F41" s="6">
        <v>1.3299999999999999E-2</v>
      </c>
      <c r="G41" s="9">
        <v>4272371</v>
      </c>
      <c r="H41" s="13">
        <f t="shared" si="0"/>
        <v>1.2561696477739201E-2</v>
      </c>
      <c r="I41">
        <f t="shared" si="1"/>
        <v>3.7449931197454527E-5</v>
      </c>
      <c r="J41" s="13">
        <f t="shared" si="2"/>
        <v>2.3163947948320447E-2</v>
      </c>
      <c r="K41" s="5">
        <f t="shared" si="3"/>
        <v>3.5561048110655455E-3</v>
      </c>
      <c r="M41">
        <f t="shared" si="4"/>
        <v>23163.947948320449</v>
      </c>
    </row>
    <row r="42" spans="1:13" hidden="1" x14ac:dyDescent="0.3">
      <c r="A42" s="10" t="s">
        <v>113</v>
      </c>
      <c r="B42" s="4" t="s">
        <v>60</v>
      </c>
      <c r="C42" s="3">
        <v>641</v>
      </c>
      <c r="D42" s="6">
        <v>1.9800000000000002E-2</v>
      </c>
      <c r="E42" s="3">
        <v>287</v>
      </c>
      <c r="F42" s="6">
        <v>2.3900000000000001E-2</v>
      </c>
      <c r="G42" s="9">
        <v>13078751</v>
      </c>
      <c r="H42" s="13">
        <f t="shared" si="0"/>
        <v>3.8454361844963383E-2</v>
      </c>
      <c r="I42">
        <f t="shared" si="1"/>
        <v>2.19439914407729E-5</v>
      </c>
      <c r="J42" s="13">
        <f t="shared" si="2"/>
        <v>1.3573041638778836E-2</v>
      </c>
      <c r="K42" s="5">
        <f t="shared" si="3"/>
        <v>-6.0348014984760653E-3</v>
      </c>
      <c r="M42">
        <f t="shared" si="4"/>
        <v>13573.041638778835</v>
      </c>
    </row>
    <row r="43" spans="1:13" hidden="1" x14ac:dyDescent="0.3">
      <c r="A43" s="11"/>
      <c r="B43" s="4" t="s">
        <v>61</v>
      </c>
      <c r="C43" s="3">
        <v>8</v>
      </c>
      <c r="D43" s="6">
        <v>2.0000000000000001E-4</v>
      </c>
      <c r="E43" s="3">
        <v>10</v>
      </c>
      <c r="F43" s="6">
        <v>8.0000000000000004E-4</v>
      </c>
      <c r="G43" s="9"/>
      <c r="H43" s="13">
        <f t="shared" si="0"/>
        <v>0</v>
      </c>
      <c r="J43" s="13">
        <f t="shared" si="2"/>
        <v>0</v>
      </c>
      <c r="K43" s="5">
        <f t="shared" si="3"/>
        <v>-1.9607843137254902E-2</v>
      </c>
      <c r="M43">
        <f t="shared" si="4"/>
        <v>0</v>
      </c>
    </row>
    <row r="44" spans="1:13" hidden="1" x14ac:dyDescent="0.3">
      <c r="A44" s="10" t="s">
        <v>114</v>
      </c>
      <c r="B44" s="4" t="s">
        <v>62</v>
      </c>
      <c r="C44" s="3">
        <v>30</v>
      </c>
      <c r="D44" s="6">
        <v>8.9999999999999998E-4</v>
      </c>
      <c r="E44" s="3">
        <v>19</v>
      </c>
      <c r="F44" s="6">
        <v>1.6000000000000001E-3</v>
      </c>
      <c r="G44" s="9">
        <v>1112308</v>
      </c>
      <c r="H44" s="13">
        <f t="shared" si="0"/>
        <v>3.2704265349992163E-3</v>
      </c>
      <c r="I44">
        <f t="shared" si="1"/>
        <v>1.7081599700802297E-5</v>
      </c>
      <c r="J44" s="13">
        <f t="shared" si="2"/>
        <v>1.0565501022077305E-2</v>
      </c>
      <c r="K44" s="5">
        <f t="shared" si="3"/>
        <v>-9.0423421151775967E-3</v>
      </c>
      <c r="M44">
        <f t="shared" si="4"/>
        <v>10565.501022077306</v>
      </c>
    </row>
    <row r="45" spans="1:13" hidden="1" x14ac:dyDescent="0.3">
      <c r="A45" s="10" t="s">
        <v>115</v>
      </c>
      <c r="B45" s="4" t="s">
        <v>63</v>
      </c>
      <c r="C45" s="3">
        <v>267</v>
      </c>
      <c r="D45" s="6">
        <v>8.3000000000000001E-3</v>
      </c>
      <c r="E45" s="3">
        <v>136</v>
      </c>
      <c r="F45" s="6">
        <v>1.1299999999999999E-2</v>
      </c>
      <c r="G45" s="9">
        <v>5478831</v>
      </c>
      <c r="H45" s="13">
        <f t="shared" si="0"/>
        <v>1.6108950293602393E-2</v>
      </c>
      <c r="I45">
        <f t="shared" si="1"/>
        <v>2.4822813479736826E-5</v>
      </c>
      <c r="J45" s="13">
        <f t="shared" si="2"/>
        <v>1.5353682663496413E-2</v>
      </c>
      <c r="K45" s="5">
        <f t="shared" si="3"/>
        <v>-4.2541604737584889E-3</v>
      </c>
      <c r="M45">
        <f t="shared" si="4"/>
        <v>15353.682663496413</v>
      </c>
    </row>
    <row r="46" spans="1:13" hidden="1" x14ac:dyDescent="0.3">
      <c r="A46" s="10" t="s">
        <v>116</v>
      </c>
      <c r="B46" s="4" t="s">
        <v>64</v>
      </c>
      <c r="C46" s="3">
        <v>75</v>
      </c>
      <c r="D46" s="6">
        <v>2.3E-3</v>
      </c>
      <c r="E46" s="3">
        <v>34</v>
      </c>
      <c r="F46" s="6">
        <v>2.8E-3</v>
      </c>
      <c r="G46" s="9">
        <v>924669</v>
      </c>
      <c r="H46" s="13">
        <f t="shared" si="0"/>
        <v>2.7187272173635271E-3</v>
      </c>
      <c r="I46">
        <f t="shared" si="1"/>
        <v>3.676991442343152E-5</v>
      </c>
      <c r="J46" s="13">
        <f t="shared" si="2"/>
        <v>2.2743336410360551E-2</v>
      </c>
      <c r="K46" s="5">
        <f t="shared" si="3"/>
        <v>3.1354932731056488E-3</v>
      </c>
      <c r="M46">
        <f t="shared" si="4"/>
        <v>22743.336410360549</v>
      </c>
    </row>
    <row r="47" spans="1:13" hidden="1" x14ac:dyDescent="0.3">
      <c r="A47" s="10" t="s">
        <v>117</v>
      </c>
      <c r="B47" s="4" t="s">
        <v>65</v>
      </c>
      <c r="C47" s="3">
        <v>428</v>
      </c>
      <c r="D47" s="6">
        <v>1.32E-2</v>
      </c>
      <c r="E47" s="3">
        <v>213</v>
      </c>
      <c r="F47" s="6">
        <v>1.78E-2</v>
      </c>
      <c r="G47" s="9">
        <v>7227750</v>
      </c>
      <c r="H47" s="13">
        <f t="shared" si="0"/>
        <v>2.1251151109531338E-2</v>
      </c>
      <c r="I47">
        <f t="shared" si="1"/>
        <v>2.9469751997509597E-5</v>
      </c>
      <c r="J47" s="13">
        <f t="shared" si="2"/>
        <v>1.8227958757014315E-2</v>
      </c>
      <c r="K47" s="5">
        <f t="shared" si="3"/>
        <v>-1.3798843802405869E-3</v>
      </c>
      <c r="M47">
        <f t="shared" si="4"/>
        <v>18227.958757014316</v>
      </c>
    </row>
    <row r="48" spans="1:13" hidden="1" x14ac:dyDescent="0.3">
      <c r="A48" s="10" t="s">
        <v>118</v>
      </c>
      <c r="B48" s="4" t="s">
        <v>66</v>
      </c>
      <c r="C48" s="3">
        <v>2418</v>
      </c>
      <c r="D48" s="6">
        <v>7.4800000000000005E-2</v>
      </c>
      <c r="E48" s="3">
        <v>1360</v>
      </c>
      <c r="F48" s="6">
        <v>0.1133</v>
      </c>
      <c r="G48" s="9">
        <v>31290831</v>
      </c>
      <c r="H48" s="13">
        <f t="shared" si="0"/>
        <v>9.2001823240124195E-2</v>
      </c>
      <c r="I48">
        <f t="shared" si="1"/>
        <v>4.3463211315800464E-5</v>
      </c>
      <c r="J48" s="13">
        <f t="shared" si="2"/>
        <v>2.6883348844563032E-2</v>
      </c>
      <c r="K48" s="5">
        <f t="shared" si="3"/>
        <v>7.2755057073081303E-3</v>
      </c>
      <c r="M48">
        <f t="shared" si="4"/>
        <v>26883.348844563032</v>
      </c>
    </row>
    <row r="49" spans="1:13" hidden="1" x14ac:dyDescent="0.3">
      <c r="A49" s="11"/>
      <c r="B49" s="4" t="s">
        <v>67</v>
      </c>
      <c r="C49" s="3">
        <v>0</v>
      </c>
      <c r="D49" s="6">
        <v>0</v>
      </c>
      <c r="E49" s="3">
        <v>0</v>
      </c>
      <c r="F49" s="6">
        <v>0</v>
      </c>
      <c r="G49" s="9"/>
      <c r="H49" s="13">
        <f t="shared" si="0"/>
        <v>0</v>
      </c>
      <c r="J49" s="13">
        <f t="shared" si="2"/>
        <v>0</v>
      </c>
      <c r="K49" s="5">
        <f t="shared" si="3"/>
        <v>-1.9607843137254902E-2</v>
      </c>
      <c r="M49">
        <f t="shared" si="4"/>
        <v>0</v>
      </c>
    </row>
    <row r="50" spans="1:13" hidden="1" x14ac:dyDescent="0.3">
      <c r="A50" s="10" t="s">
        <v>119</v>
      </c>
      <c r="B50" s="4" t="s">
        <v>68</v>
      </c>
      <c r="C50" s="3">
        <v>196</v>
      </c>
      <c r="D50" s="6">
        <v>6.1000000000000004E-3</v>
      </c>
      <c r="E50" s="3">
        <v>99</v>
      </c>
      <c r="F50" s="6">
        <v>8.3000000000000001E-3</v>
      </c>
      <c r="G50" s="9">
        <v>3503613</v>
      </c>
      <c r="H50" s="13">
        <f t="shared" si="0"/>
        <v>1.0301381383185421E-2</v>
      </c>
      <c r="I50">
        <f t="shared" si="1"/>
        <v>2.825654545750344E-5</v>
      </c>
      <c r="J50" s="13">
        <f t="shared" si="2"/>
        <v>1.7477552755062176E-2</v>
      </c>
      <c r="K50" s="5">
        <f t="shared" si="3"/>
        <v>-2.1302903821927253E-3</v>
      </c>
      <c r="M50">
        <f t="shared" si="4"/>
        <v>17477.552755062177</v>
      </c>
    </row>
    <row r="51" spans="1:13" hidden="1" x14ac:dyDescent="0.3">
      <c r="A51" s="10" t="s">
        <v>120</v>
      </c>
      <c r="B51" s="4" t="s">
        <v>69</v>
      </c>
      <c r="C51" s="3">
        <v>26</v>
      </c>
      <c r="D51" s="6">
        <v>8.0000000000000004E-4</v>
      </c>
      <c r="E51" s="3">
        <v>15</v>
      </c>
      <c r="F51" s="6">
        <v>1.2999999999999999E-3</v>
      </c>
      <c r="G51" s="9">
        <v>648493</v>
      </c>
      <c r="H51" s="13">
        <f t="shared" si="0"/>
        <v>1.9067099355225771E-3</v>
      </c>
      <c r="I51">
        <f t="shared" si="1"/>
        <v>2.3130550368315463E-5</v>
      </c>
      <c r="J51" s="13">
        <f t="shared" si="2"/>
        <v>1.4306965263105256E-2</v>
      </c>
      <c r="K51" s="5">
        <f t="shared" si="3"/>
        <v>-5.3008778741496457E-3</v>
      </c>
      <c r="M51">
        <f t="shared" si="4"/>
        <v>14306.965263105256</v>
      </c>
    </row>
    <row r="52" spans="1:13" hidden="1" x14ac:dyDescent="0.3">
      <c r="A52" s="10" t="s">
        <v>121</v>
      </c>
      <c r="B52" s="4" t="s">
        <v>70</v>
      </c>
      <c r="C52" s="3">
        <v>661</v>
      </c>
      <c r="D52" s="6">
        <v>2.0500000000000001E-2</v>
      </c>
      <c r="E52" s="3">
        <v>228</v>
      </c>
      <c r="F52" s="6">
        <v>1.9E-2</v>
      </c>
      <c r="G52" s="9">
        <v>8811195</v>
      </c>
      <c r="H52" s="13">
        <f t="shared" si="0"/>
        <v>2.5906822510538826E-2</v>
      </c>
      <c r="I52">
        <f t="shared" si="1"/>
        <v>2.5876172301259931E-5</v>
      </c>
      <c r="J52" s="13">
        <f t="shared" si="2"/>
        <v>1.6005217876846119E-2</v>
      </c>
      <c r="K52" s="5">
        <f t="shared" si="3"/>
        <v>-3.602625260408783E-3</v>
      </c>
      <c r="M52">
        <f t="shared" si="4"/>
        <v>16005.217876846118</v>
      </c>
    </row>
    <row r="53" spans="1:13" hidden="1" x14ac:dyDescent="0.3">
      <c r="A53" s="10" t="s">
        <v>122</v>
      </c>
      <c r="B53" s="4" t="s">
        <v>71</v>
      </c>
      <c r="C53" s="3">
        <v>659</v>
      </c>
      <c r="D53" s="6">
        <v>2.0400000000000001E-2</v>
      </c>
      <c r="E53" s="3">
        <v>271</v>
      </c>
      <c r="F53" s="6">
        <v>2.2599999999999999E-2</v>
      </c>
      <c r="G53" s="9">
        <v>7958180</v>
      </c>
      <c r="H53" s="13">
        <f t="shared" si="0"/>
        <v>2.3398773579170574E-2</v>
      </c>
      <c r="I53">
        <f t="shared" si="1"/>
        <v>3.4053012120861803E-5</v>
      </c>
      <c r="J53" s="13">
        <f t="shared" si="2"/>
        <v>2.106284778180802E-2</v>
      </c>
      <c r="K53" s="5">
        <f t="shared" si="3"/>
        <v>1.4550046445531185E-3</v>
      </c>
      <c r="M53">
        <f t="shared" si="4"/>
        <v>21062.847781808021</v>
      </c>
    </row>
    <row r="54" spans="1:13" hidden="1" x14ac:dyDescent="0.3">
      <c r="A54" s="10" t="s">
        <v>123</v>
      </c>
      <c r="B54" s="4" t="s">
        <v>72</v>
      </c>
      <c r="C54" s="3">
        <v>66</v>
      </c>
      <c r="D54" s="6">
        <v>2E-3</v>
      </c>
      <c r="E54" s="3">
        <v>38</v>
      </c>
      <c r="F54" s="6">
        <v>3.2000000000000002E-3</v>
      </c>
      <c r="G54" s="9">
        <v>1769979</v>
      </c>
      <c r="H54" s="13">
        <f t="shared" si="0"/>
        <v>5.2041217792116734E-3</v>
      </c>
      <c r="I54">
        <f t="shared" si="1"/>
        <v>2.1469181272772164E-5</v>
      </c>
      <c r="J54" s="13">
        <f t="shared" si="2"/>
        <v>1.3279356773006642E-2</v>
      </c>
      <c r="K54" s="5">
        <f t="shared" si="3"/>
        <v>-6.3284863642482595E-3</v>
      </c>
      <c r="M54">
        <f t="shared" si="4"/>
        <v>13279.356773006642</v>
      </c>
    </row>
    <row r="55" spans="1:13" hidden="1" x14ac:dyDescent="0.3">
      <c r="A55" s="10" t="s">
        <v>124</v>
      </c>
      <c r="B55" s="4" t="s">
        <v>73</v>
      </c>
      <c r="C55" s="3">
        <v>277</v>
      </c>
      <c r="D55" s="6">
        <v>8.6E-3</v>
      </c>
      <c r="E55" s="3">
        <v>111</v>
      </c>
      <c r="F55" s="6">
        <v>9.2999999999999992E-3</v>
      </c>
      <c r="G55" s="9">
        <v>5960975</v>
      </c>
      <c r="H55" s="13">
        <f t="shared" si="0"/>
        <v>1.7526558124608429E-2</v>
      </c>
      <c r="I55">
        <f t="shared" si="1"/>
        <v>1.8621114834402089E-5</v>
      </c>
      <c r="J55" s="13">
        <f t="shared" si="2"/>
        <v>1.1517739044420616E-2</v>
      </c>
      <c r="K55" s="5">
        <f t="shared" si="3"/>
        <v>-8.0901040928342861E-3</v>
      </c>
      <c r="M55">
        <f t="shared" si="4"/>
        <v>11517.739044420616</v>
      </c>
    </row>
    <row r="56" spans="1:13" hidden="1" x14ac:dyDescent="0.3">
      <c r="A56" s="10" t="s">
        <v>125</v>
      </c>
      <c r="B56" s="4" t="s">
        <v>74</v>
      </c>
      <c r="C56" s="3">
        <v>29</v>
      </c>
      <c r="D56" s="6">
        <v>8.9999999999999998E-4</v>
      </c>
      <c r="E56" s="3">
        <v>17</v>
      </c>
      <c r="F56" s="6">
        <v>1.4E-3</v>
      </c>
      <c r="G56" s="9">
        <v>587618</v>
      </c>
      <c r="H56" s="13">
        <f t="shared" si="0"/>
        <v>1.727724245122007E-3</v>
      </c>
      <c r="I56">
        <f t="shared" si="1"/>
        <v>2.8930359519279533E-5</v>
      </c>
      <c r="J56" s="13">
        <f t="shared" si="2"/>
        <v>1.7894327722458876E-2</v>
      </c>
      <c r="K56" s="5">
        <f t="shared" si="3"/>
        <v>-1.7135154147960262E-3</v>
      </c>
      <c r="M56">
        <f t="shared" si="4"/>
        <v>17894.327722458875</v>
      </c>
    </row>
  </sheetData>
  <hyperlinks>
    <hyperlink ref="B2" r:id="rId1" location="year-2024" display="https://humantraffickinghotline.org/en/statistics/alabama - year-2024" xr:uid="{FE7CC8FB-BDBE-48C2-8539-3D96BA667162}"/>
    <hyperlink ref="B3" r:id="rId2" location="year-2024" display="https://humantraffickinghotline.org/en/statistics/alaska - year-2024" xr:uid="{35AA5E0C-ECC4-4524-BC00-9221BD062EC9}"/>
    <hyperlink ref="B4" r:id="rId3" location="year-2024" display="https://humantraffickinghotline.org/en/statistics/arizona - year-2024" xr:uid="{AF472A07-1476-4FA3-9E53-00EF86073DA8}"/>
    <hyperlink ref="B5" r:id="rId4" location="year-2024" display="https://humantraffickinghotline.org/en/statistics/arkansas - year-2024" xr:uid="{A56E6C95-1D28-403C-A895-9B64044314F9}"/>
    <hyperlink ref="B6" r:id="rId5" location="year-2024" display="https://humantraffickinghotline.org/en/statistics/california - year-2024" xr:uid="{21391856-4719-4ECD-A762-D0EAD9BD3EED}"/>
    <hyperlink ref="B7" r:id="rId6" location="year-2024" display="https://humantraffickinghotline.org/en/statistics/colorado - year-2024" xr:uid="{35BCAB9A-9A79-45FB-861C-CA4051F64CC4}"/>
    <hyperlink ref="B8" r:id="rId7" location="year-2024" display="https://humantraffickinghotline.org/en/statistics/connecticut - year-2024" xr:uid="{FE62FB2A-02B0-4354-81E2-977ECF5CF437}"/>
    <hyperlink ref="B9" r:id="rId8" location="year-2024" display="https://humantraffickinghotline.org/en/statistics/delaware - year-2024" xr:uid="{6AF94E7B-1E36-455C-86E8-190660E222ED}"/>
    <hyperlink ref="B10" r:id="rId9" location="year-2024" display="https://humantraffickinghotline.org/en/statistics/district-columbia - year-2024" xr:uid="{E0991FC2-77BB-42B2-8742-7CECA4D1881F}"/>
    <hyperlink ref="B11" r:id="rId10" location="year-2024" display="https://humantraffickinghotline.org/en/statistics/florida - year-2024" xr:uid="{3E4F9AF4-406E-4512-91CB-9ED7901E3C89}"/>
    <hyperlink ref="B12" r:id="rId11" location="year-2024" display="https://humantraffickinghotline.org/en/statistics/georgia - year-2024" xr:uid="{C61B2759-73CA-49E8-9397-0ACA5871F890}"/>
    <hyperlink ref="B13" r:id="rId12" location="year-2024" display="https://humantraffickinghotline.org/en/statistics/guam - year-2024" xr:uid="{EC875457-40A6-4E3E-BD8C-DF978C222AE0}"/>
    <hyperlink ref="B14" r:id="rId13" location="year-2024" display="https://humantraffickinghotline.org/en/statistics/hawaii - year-2024" xr:uid="{4694E97A-80B0-4001-AC99-8696E76703A3}"/>
    <hyperlink ref="B15" r:id="rId14" location="year-2024" display="https://humantraffickinghotline.org/en/statistics/idaho - year-2024" xr:uid="{BF42FF3C-1145-4A66-B5C6-BA0204C8C82C}"/>
    <hyperlink ref="B16" r:id="rId15" location="year-2024" display="https://humantraffickinghotline.org/en/statistics/illinois - year-2024" xr:uid="{7ED190CF-4F36-4E44-87B1-A91D50DD7FB1}"/>
    <hyperlink ref="B17" r:id="rId16" location="year-2024" display="https://humantraffickinghotline.org/en/statistics/indiana - year-2024" xr:uid="{E4EDF020-A98F-439E-98E3-3D536B05F65A}"/>
    <hyperlink ref="B18" r:id="rId17" location="year-2024" display="https://humantraffickinghotline.org/en/statistics/iowa - year-2024" xr:uid="{36A4DB02-33CF-41AF-A0FE-B33C35205D7A}"/>
    <hyperlink ref="B19" r:id="rId18" location="year-2024" display="https://humantraffickinghotline.org/en/statistics/kansas - year-2024" xr:uid="{CE0D9983-F6B3-4B84-B100-5A80602465CA}"/>
    <hyperlink ref="B20" r:id="rId19" location="year-2024" display="https://humantraffickinghotline.org/en/statistics/kentucky - year-2024" xr:uid="{AD1CC4CC-A084-4744-80E5-A7C58AA9E7B1}"/>
    <hyperlink ref="B21" r:id="rId20" location="year-2024" display="https://humantraffickinghotline.org/en/statistics/louisiana - year-2024" xr:uid="{E8C7D3F7-3BE2-408D-87D9-17645CD5D53A}"/>
    <hyperlink ref="B22" r:id="rId21" location="year-2024" display="https://humantraffickinghotline.org/en/statistics/maine - year-2024" xr:uid="{55C60E6D-1987-4023-AC79-E48D42165255}"/>
    <hyperlink ref="B23" r:id="rId22" location="year-2024" display="https://humantraffickinghotline.org/en/statistics/maryland - year-2024" xr:uid="{86F4CF32-9F1E-4116-A152-955CD772191C}"/>
    <hyperlink ref="B24" r:id="rId23" location="year-2024" display="https://humantraffickinghotline.org/en/statistics/massachusetts - year-2024" xr:uid="{8CCFDC0B-FF5F-4AAF-B66D-90229837426B}"/>
    <hyperlink ref="B25" r:id="rId24" location="year-2024" display="https://humantraffickinghotline.org/en/statistics/michigan - year-2024" xr:uid="{3D9C5890-65CF-4482-B563-A757402DD81E}"/>
    <hyperlink ref="B26" r:id="rId25" location="year-2024" display="https://humantraffickinghotline.org/en/statistics/minnesota - year-2024" xr:uid="{02C24BB7-CB93-424F-885C-CD1B7486BB7A}"/>
    <hyperlink ref="B27" r:id="rId26" location="year-2024" display="https://humantraffickinghotline.org/en/statistics/mississippi - year-2024" xr:uid="{026F079D-C213-4683-A883-8C16EE32D521}"/>
    <hyperlink ref="B28" r:id="rId27" location="year-2024" display="https://humantraffickinghotline.org/en/statistics/missouri - year-2024" xr:uid="{21768EFD-97F3-4E1D-88A5-90B42D4A1F24}"/>
    <hyperlink ref="B29" r:id="rId28" location="year-2024" display="https://humantraffickinghotline.org/en/statistics/montana - year-2024" xr:uid="{DCD89BEE-3680-47DC-8D7D-880E1ADC9B06}"/>
    <hyperlink ref="B30" r:id="rId29" location="year-2024" display="https://humantraffickinghotline.org/en/statistics/nebraska - year-2024" xr:uid="{C53BA52D-3892-4E02-B5D4-0B6E9C225CDC}"/>
    <hyperlink ref="B31" r:id="rId30" location="year-2024" display="https://humantraffickinghotline.org/en/statistics/nevada - year-2024" xr:uid="{ACAD1654-EB02-4EC6-800D-EF9B42B1C298}"/>
    <hyperlink ref="B32" r:id="rId31" location="year-2024" display="https://humantraffickinghotline.org/en/statistics/new-hampshire - year-2024" xr:uid="{0A1723D7-940D-4322-A737-AF97A9BF656E}"/>
    <hyperlink ref="B33" r:id="rId32" location="year-2024" display="https://humantraffickinghotline.org/en/statistics/new-jersey - year-2024" xr:uid="{B3D89B7A-F14C-4D09-B79B-43D5AB4D7CE8}"/>
    <hyperlink ref="B34" r:id="rId33" location="year-2024" display="https://humantraffickinghotline.org/en/statistics/new-mexico - year-2024" xr:uid="{E2CE8264-3FC5-466D-B660-0FD98FCD7D71}"/>
    <hyperlink ref="B35" r:id="rId34" location="year-2024" display="https://humantraffickinghotline.org/en/statistics/new-york - year-2024" xr:uid="{A359EE4A-E285-4FDE-9244-34928226D18D}"/>
    <hyperlink ref="B36" r:id="rId35" location="year-2024" display="https://humantraffickinghotline.org/en/statistics/north-carolina - year-2024" xr:uid="{9D671271-0C19-4E15-8268-2005E7860F83}"/>
    <hyperlink ref="B37" r:id="rId36" location="year-2024" display="https://humantraffickinghotline.org/en/statistics/north-dakota - year-2024" xr:uid="{86E6A227-8A6E-4347-B540-B1B7887E2C33}"/>
    <hyperlink ref="B38" r:id="rId37" location="year-2024" display="https://humantraffickinghotline.org/en/statistics/northern-marianas-islands - year-2024" xr:uid="{DD31EA73-BBB9-4957-BD28-3EC89E0C1847}"/>
    <hyperlink ref="B39" r:id="rId38" location="year-2024" display="https://humantraffickinghotline.org/en/statistics/ohio - year-2024" xr:uid="{42831508-B5CD-42CF-BEBC-59FAD1CAFE12}"/>
    <hyperlink ref="B40" r:id="rId39" location="year-2024" display="https://humantraffickinghotline.org/en/statistics/oklahoma - year-2024" xr:uid="{9D74930B-37E4-4DFB-86A9-1BC7BAC7F97E}"/>
    <hyperlink ref="B41" r:id="rId40" location="year-2024" display="https://humantraffickinghotline.org/en/statistics/oregon - year-2024" xr:uid="{D086290E-2286-4124-8ACB-179F9FF419B3}"/>
    <hyperlink ref="B42" r:id="rId41" location="year-2024" display="https://humantraffickinghotline.org/en/statistics/pennsylvania - year-2024" xr:uid="{FAF0A8F0-BDE4-47D3-8191-17446C19E554}"/>
    <hyperlink ref="B43" r:id="rId42" location="year-2024" display="https://humantraffickinghotline.org/en/statistics/puerto-rico - year-2024" xr:uid="{E6680EBC-9E5C-4404-8ECF-32FDAE3EDCB0}"/>
    <hyperlink ref="B44" r:id="rId43" location="year-2024" display="https://humantraffickinghotline.org/en/statistics/rhode-island - year-2024" xr:uid="{3F8FDCF9-C9C1-4818-89E1-806B131771E7}"/>
    <hyperlink ref="B45" r:id="rId44" location="year-2024" display="https://humantraffickinghotline.org/en/statistics/south-carolina - year-2024" xr:uid="{B122928B-EFA0-4742-A9AB-4697E2F30AEF}"/>
    <hyperlink ref="B46" r:id="rId45" location="year-2024" display="https://humantraffickinghotline.org/en/statistics/south-dakota - year-2024" xr:uid="{8E044A3D-FD95-47CA-B25F-8E31D5AA318E}"/>
    <hyperlink ref="B47" r:id="rId46" location="year-2024" display="https://humantraffickinghotline.org/en/statistics/tennessee - year-2024" xr:uid="{A51AFEE3-5446-4999-A007-4F72F8246994}"/>
    <hyperlink ref="B48" r:id="rId47" location="year-2024" display="https://humantraffickinghotline.org/en/statistics/texas - year-2024" xr:uid="{D4063B32-338E-49DD-BF4F-0CC759B8E026}"/>
    <hyperlink ref="B49" r:id="rId48" location="year-2024" display="https://humantraffickinghotline.org/en/statistics/us-virgin-islands - year-2024" xr:uid="{D27A845E-96C0-4BA5-AFF6-75FF96B0E562}"/>
    <hyperlink ref="B50" r:id="rId49" location="year-2024" display="https://humantraffickinghotline.org/en/statistics/utah - year-2024" xr:uid="{23CE5AA0-A01F-4F14-89A7-D76EB95E2986}"/>
    <hyperlink ref="B51" r:id="rId50" location="year-2024" display="https://humantraffickinghotline.org/en/statistics/vermont - year-2024" xr:uid="{5E41AEF3-D0EC-413C-BA40-335B5DAE5FBD}"/>
    <hyperlink ref="B52" r:id="rId51" location="year-2024" display="https://humantraffickinghotline.org/en/statistics/virginia - year-2024" xr:uid="{3324262B-7FE8-42AE-B2EC-F5CE2930F123}"/>
    <hyperlink ref="B53" r:id="rId52" location="year-2024" display="https://humantraffickinghotline.org/en/statistics/washington - year-2024" xr:uid="{57194B36-9ADA-4FE4-9123-98793039E746}"/>
    <hyperlink ref="B54" r:id="rId53" location="year-2024" display="https://humantraffickinghotline.org/en/statistics/west-virginia - year-2024" xr:uid="{44021D6D-895B-4725-9AEE-5713FBAE3801}"/>
    <hyperlink ref="B55" r:id="rId54" location="year-2024" display="https://humantraffickinghotline.org/en/statistics/wisconsin - year-2024" xr:uid="{3F1452D2-F24D-4833-90C9-0F71F18C74C8}"/>
    <hyperlink ref="B56" r:id="rId55" location="year-2024" display="https://humantraffickinghotline.org/en/statistics/wyoming - year-2024" xr:uid="{187F5CC0-F467-4AA9-B4EC-FD7BF20C2A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A059-A18F-444C-A820-D0576536D005}">
  <dimension ref="A1:L60"/>
  <sheetViews>
    <sheetView workbookViewId="0">
      <selection activeCell="A24" sqref="A24:XFD24"/>
    </sheetView>
  </sheetViews>
  <sheetFormatPr defaultRowHeight="14.4" x14ac:dyDescent="0.3"/>
  <cols>
    <col min="7" max="7" width="9.88671875" bestFit="1" customWidth="1"/>
    <col min="8" max="8" width="12" bestFit="1" customWidth="1"/>
    <col min="9" max="9" width="9.109375" style="13"/>
  </cols>
  <sheetData>
    <row r="1" spans="1:12" ht="72" x14ac:dyDescent="0.3"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126</v>
      </c>
      <c r="H1" s="2" t="s">
        <v>128</v>
      </c>
      <c r="I1" s="12" t="s">
        <v>129</v>
      </c>
      <c r="J1" s="2" t="str">
        <f>"Difference from proportional (" &amp; TEXT(100/COUNTIF(I$2:I$56,"&lt;&gt;0"),"0.00") &amp; "%)"</f>
        <v>Difference from proportional (1.96%)</v>
      </c>
      <c r="L1" t="s">
        <v>130</v>
      </c>
    </row>
    <row r="2" spans="1:12" x14ac:dyDescent="0.3">
      <c r="A2" s="10" t="s">
        <v>75</v>
      </c>
      <c r="B2" s="4" t="s">
        <v>20</v>
      </c>
      <c r="C2" s="3">
        <v>189</v>
      </c>
      <c r="D2" s="6">
        <v>6.4999999999999997E-3</v>
      </c>
      <c r="E2" s="3">
        <v>58</v>
      </c>
      <c r="F2" s="6">
        <v>6.0000000000000001E-3</v>
      </c>
      <c r="G2" s="9">
        <v>5117673</v>
      </c>
      <c r="H2">
        <f>E2/G2</f>
        <v>1.1333275885348673E-5</v>
      </c>
      <c r="I2" s="13">
        <f>H2/SUM(H$2:H$56)</f>
        <v>9.8494725520950621E-3</v>
      </c>
      <c r="J2" s="5">
        <f>I2-(1/COUNTIF(I$2:I$56,"&lt;&gt;0"))</f>
        <v>-9.7583705851598396E-3</v>
      </c>
      <c r="L2">
        <f>1000000*I2</f>
        <v>9849.4725520950615</v>
      </c>
    </row>
    <row r="3" spans="1:12" x14ac:dyDescent="0.3">
      <c r="A3" s="10" t="s">
        <v>76</v>
      </c>
      <c r="B3" s="4" t="s">
        <v>21</v>
      </c>
      <c r="C3" s="3">
        <v>48</v>
      </c>
      <c r="D3" s="6">
        <v>1.6000000000000001E-3</v>
      </c>
      <c r="E3" s="3">
        <v>8</v>
      </c>
      <c r="F3" s="6">
        <v>8.0000000000000004E-4</v>
      </c>
      <c r="G3" s="9">
        <v>736510</v>
      </c>
      <c r="H3">
        <f t="shared" ref="H3:H56" si="0">E3/G3</f>
        <v>1.0862038533081696E-5</v>
      </c>
      <c r="I3" s="13">
        <f t="shared" ref="I3:I56" si="1">H3/SUM(H$2:H$56)</f>
        <v>9.4399317085093297E-3</v>
      </c>
      <c r="J3" s="5">
        <f t="shared" ref="J3:J56" si="2">I3-(1/COUNTIF(I$2:I$56,"&lt;&gt;0"))</f>
        <v>-1.0167911428745572E-2</v>
      </c>
      <c r="L3">
        <f t="shared" ref="L3:L56" si="3">1000000*I3</f>
        <v>9439.9317085093298</v>
      </c>
    </row>
    <row r="4" spans="1:12" x14ac:dyDescent="0.3">
      <c r="A4" s="10" t="s">
        <v>77</v>
      </c>
      <c r="B4" s="4" t="s">
        <v>22</v>
      </c>
      <c r="C4" s="3">
        <v>473</v>
      </c>
      <c r="D4" s="6">
        <v>1.6199999999999999E-2</v>
      </c>
      <c r="E4" s="3">
        <v>181</v>
      </c>
      <c r="F4" s="6">
        <v>1.8800000000000001E-2</v>
      </c>
      <c r="G4" s="9">
        <v>7473027</v>
      </c>
      <c r="H4">
        <f t="shared" si="0"/>
        <v>2.4220439722752241E-5</v>
      </c>
      <c r="I4" s="13">
        <f t="shared" si="1"/>
        <v>2.1049391073001467E-2</v>
      </c>
      <c r="J4" s="5">
        <f t="shared" si="2"/>
        <v>1.4415479357465649E-3</v>
      </c>
      <c r="L4">
        <f t="shared" si="3"/>
        <v>21049.391073001465</v>
      </c>
    </row>
    <row r="5" spans="1:12" x14ac:dyDescent="0.3">
      <c r="A5" s="10" t="s">
        <v>78</v>
      </c>
      <c r="B5" s="4" t="s">
        <v>23</v>
      </c>
      <c r="C5" s="3">
        <v>157</v>
      </c>
      <c r="D5" s="6">
        <v>5.4000000000000003E-3</v>
      </c>
      <c r="E5" s="3">
        <v>75</v>
      </c>
      <c r="F5" s="6">
        <v>7.7999999999999996E-3</v>
      </c>
      <c r="G5" s="9">
        <v>3069463</v>
      </c>
      <c r="H5">
        <f t="shared" si="0"/>
        <v>2.4434241429201135E-5</v>
      </c>
      <c r="I5" s="13">
        <f t="shared" si="1"/>
        <v>2.1235200900677313E-2</v>
      </c>
      <c r="J5" s="5">
        <f t="shared" si="2"/>
        <v>1.6273577634224115E-3</v>
      </c>
      <c r="L5">
        <f t="shared" si="3"/>
        <v>21235.200900677311</v>
      </c>
    </row>
    <row r="6" spans="1:12" x14ac:dyDescent="0.3">
      <c r="A6" s="10" t="s">
        <v>79</v>
      </c>
      <c r="B6" s="4" t="s">
        <v>24</v>
      </c>
      <c r="C6" s="3">
        <v>3042</v>
      </c>
      <c r="D6" s="6">
        <v>0.10390000000000001</v>
      </c>
      <c r="E6" s="3">
        <v>1134</v>
      </c>
      <c r="F6" s="6">
        <v>0.1181</v>
      </c>
      <c r="G6" s="9">
        <v>39198693</v>
      </c>
      <c r="H6">
        <f t="shared" si="0"/>
        <v>2.89295359924373E-5</v>
      </c>
      <c r="I6" s="13">
        <f t="shared" si="1"/>
        <v>2.5141951328540441E-2</v>
      </c>
      <c r="J6" s="5">
        <f t="shared" si="2"/>
        <v>5.5341081912855389E-3</v>
      </c>
      <c r="L6">
        <f t="shared" si="3"/>
        <v>25141.951328540439</v>
      </c>
    </row>
    <row r="7" spans="1:12" x14ac:dyDescent="0.3">
      <c r="A7" s="10" t="s">
        <v>80</v>
      </c>
      <c r="B7" s="4" t="s">
        <v>25</v>
      </c>
      <c r="C7" s="3">
        <v>435</v>
      </c>
      <c r="D7" s="6">
        <v>1.49E-2</v>
      </c>
      <c r="E7" s="3">
        <v>164</v>
      </c>
      <c r="F7" s="6">
        <v>1.7100000000000001E-2</v>
      </c>
      <c r="G7" s="9">
        <v>5901339</v>
      </c>
      <c r="H7">
        <f t="shared" si="0"/>
        <v>2.7790303183735082E-5</v>
      </c>
      <c r="I7" s="13">
        <f t="shared" si="1"/>
        <v>2.4151871991085622E-2</v>
      </c>
      <c r="J7" s="5">
        <f t="shared" si="2"/>
        <v>4.54402885383072E-3</v>
      </c>
      <c r="L7">
        <f t="shared" si="3"/>
        <v>24151.871991085623</v>
      </c>
    </row>
    <row r="8" spans="1:12" ht="28.8" x14ac:dyDescent="0.3">
      <c r="A8" s="10" t="s">
        <v>81</v>
      </c>
      <c r="B8" s="4" t="s">
        <v>26</v>
      </c>
      <c r="C8" s="3">
        <v>122</v>
      </c>
      <c r="D8" s="6">
        <v>4.1999999999999997E-3</v>
      </c>
      <c r="E8" s="3">
        <v>42</v>
      </c>
      <c r="F8" s="6">
        <v>4.4000000000000003E-3</v>
      </c>
      <c r="G8" s="9">
        <v>3643023</v>
      </c>
      <c r="H8">
        <f t="shared" si="0"/>
        <v>1.1528886861268787E-5</v>
      </c>
      <c r="I8" s="13">
        <f t="shared" si="1"/>
        <v>1.001947326130787E-2</v>
      </c>
      <c r="J8" s="5">
        <f t="shared" si="2"/>
        <v>-9.5883698759470313E-3</v>
      </c>
      <c r="L8">
        <f t="shared" si="3"/>
        <v>10019.47326130787</v>
      </c>
    </row>
    <row r="9" spans="1:12" x14ac:dyDescent="0.3">
      <c r="A9" s="10" t="s">
        <v>82</v>
      </c>
      <c r="B9" s="4" t="s">
        <v>27</v>
      </c>
      <c r="C9" s="3">
        <v>77</v>
      </c>
      <c r="D9" s="6">
        <v>2.5999999999999999E-3</v>
      </c>
      <c r="E9" s="3">
        <v>31</v>
      </c>
      <c r="F9" s="6">
        <v>3.2000000000000002E-3</v>
      </c>
      <c r="G9" s="9">
        <v>1036423</v>
      </c>
      <c r="H9">
        <f t="shared" si="0"/>
        <v>2.9910567403463644E-5</v>
      </c>
      <c r="I9" s="13">
        <f t="shared" si="1"/>
        <v>2.5994541705179789E-2</v>
      </c>
      <c r="J9" s="5">
        <f t="shared" si="2"/>
        <v>6.3866985679248874E-3</v>
      </c>
      <c r="L9">
        <f t="shared" si="3"/>
        <v>25994.541705179789</v>
      </c>
    </row>
    <row r="10" spans="1:12" ht="28.8" x14ac:dyDescent="0.3">
      <c r="A10" s="10" t="s">
        <v>83</v>
      </c>
      <c r="B10" s="4" t="s">
        <v>28</v>
      </c>
      <c r="C10" s="3">
        <v>172</v>
      </c>
      <c r="D10" s="6">
        <v>5.8999999999999999E-3</v>
      </c>
      <c r="E10" s="3">
        <v>48</v>
      </c>
      <c r="F10" s="6">
        <v>5.0000000000000001E-3</v>
      </c>
      <c r="G10" s="9">
        <v>687324</v>
      </c>
      <c r="H10">
        <f t="shared" si="0"/>
        <v>6.9836059849503297E-5</v>
      </c>
      <c r="I10" s="13">
        <f t="shared" si="1"/>
        <v>6.0692809527683078E-2</v>
      </c>
      <c r="J10" s="5">
        <f t="shared" si="2"/>
        <v>4.1084966390428176E-2</v>
      </c>
      <c r="L10">
        <f t="shared" si="3"/>
        <v>60692.809527683079</v>
      </c>
    </row>
    <row r="11" spans="1:12" x14ac:dyDescent="0.3">
      <c r="A11" s="10" t="s">
        <v>84</v>
      </c>
      <c r="B11" s="4" t="s">
        <v>29</v>
      </c>
      <c r="C11" s="3">
        <v>1875</v>
      </c>
      <c r="D11" s="6">
        <v>6.4100000000000004E-2</v>
      </c>
      <c r="E11" s="3">
        <v>676</v>
      </c>
      <c r="F11" s="6">
        <v>7.0400000000000004E-2</v>
      </c>
      <c r="G11" s="9">
        <v>22904868</v>
      </c>
      <c r="H11">
        <f t="shared" si="0"/>
        <v>2.9513376807061275E-5</v>
      </c>
      <c r="I11" s="13">
        <f t="shared" si="1"/>
        <v>2.5649353083920433E-2</v>
      </c>
      <c r="J11" s="5">
        <f t="shared" si="2"/>
        <v>6.0415099466655311E-3</v>
      </c>
      <c r="L11">
        <f t="shared" si="3"/>
        <v>25649.353083920432</v>
      </c>
    </row>
    <row r="12" spans="1:12" x14ac:dyDescent="0.3">
      <c r="A12" s="10" t="s">
        <v>85</v>
      </c>
      <c r="B12" s="4" t="s">
        <v>30</v>
      </c>
      <c r="C12" s="3">
        <v>602</v>
      </c>
      <c r="D12" s="6">
        <v>2.06E-2</v>
      </c>
      <c r="E12" s="3">
        <v>267</v>
      </c>
      <c r="F12" s="6">
        <v>2.7799999999999998E-2</v>
      </c>
      <c r="G12" s="9">
        <v>11064432</v>
      </c>
      <c r="H12">
        <f t="shared" si="0"/>
        <v>2.4131378818180634E-5</v>
      </c>
      <c r="I12" s="13">
        <f t="shared" si="1"/>
        <v>2.0971990421687858E-2</v>
      </c>
      <c r="J12" s="5">
        <f t="shared" si="2"/>
        <v>1.3641472844329559E-3</v>
      </c>
      <c r="L12">
        <f t="shared" si="3"/>
        <v>20971.990421687857</v>
      </c>
    </row>
    <row r="13" spans="1:12" x14ac:dyDescent="0.3">
      <c r="A13" s="11"/>
      <c r="B13" s="4" t="s">
        <v>31</v>
      </c>
      <c r="C13" s="3">
        <v>0</v>
      </c>
      <c r="D13" s="6">
        <v>0</v>
      </c>
      <c r="E13" s="3">
        <v>0</v>
      </c>
      <c r="F13" s="6">
        <v>0</v>
      </c>
      <c r="G13" s="9"/>
      <c r="I13" s="13">
        <f t="shared" si="1"/>
        <v>0</v>
      </c>
      <c r="J13" s="5">
        <f t="shared" si="2"/>
        <v>-1.9607843137254902E-2</v>
      </c>
      <c r="L13">
        <f t="shared" si="3"/>
        <v>0</v>
      </c>
    </row>
    <row r="14" spans="1:12" x14ac:dyDescent="0.3">
      <c r="A14" s="10" t="s">
        <v>86</v>
      </c>
      <c r="B14" s="4" t="s">
        <v>32</v>
      </c>
      <c r="C14" s="3">
        <v>103</v>
      </c>
      <c r="D14" s="6">
        <v>3.5000000000000001E-3</v>
      </c>
      <c r="E14" s="3">
        <v>29</v>
      </c>
      <c r="F14" s="6">
        <v>3.0000000000000001E-3</v>
      </c>
      <c r="G14" s="9">
        <v>1441387</v>
      </c>
      <c r="H14">
        <f t="shared" si="0"/>
        <v>2.0119509888739109E-5</v>
      </c>
      <c r="I14" s="13">
        <f t="shared" si="1"/>
        <v>1.7485373374429628E-2</v>
      </c>
      <c r="J14" s="5">
        <f t="shared" si="2"/>
        <v>-2.1224697628252735E-3</v>
      </c>
      <c r="L14">
        <f t="shared" si="3"/>
        <v>17485.37337442963</v>
      </c>
    </row>
    <row r="15" spans="1:12" x14ac:dyDescent="0.3">
      <c r="A15" s="10" t="s">
        <v>87</v>
      </c>
      <c r="B15" s="4" t="s">
        <v>33</v>
      </c>
      <c r="C15" s="3">
        <v>91</v>
      </c>
      <c r="D15" s="6">
        <v>3.0999999999999999E-3</v>
      </c>
      <c r="E15" s="3">
        <v>27</v>
      </c>
      <c r="F15" s="6">
        <v>2.8E-3</v>
      </c>
      <c r="G15" s="9">
        <v>1971122</v>
      </c>
      <c r="H15">
        <f t="shared" si="0"/>
        <v>1.3697782278316614E-5</v>
      </c>
      <c r="I15" s="13">
        <f t="shared" si="1"/>
        <v>1.1904407158151777E-2</v>
      </c>
      <c r="J15" s="5">
        <f t="shared" si="2"/>
        <v>-7.7034359791031248E-3</v>
      </c>
      <c r="L15">
        <f t="shared" si="3"/>
        <v>11904.407158151776</v>
      </c>
    </row>
    <row r="16" spans="1:12" x14ac:dyDescent="0.3">
      <c r="A16" s="10" t="s">
        <v>88</v>
      </c>
      <c r="B16" s="4" t="s">
        <v>34</v>
      </c>
      <c r="C16" s="3">
        <v>696</v>
      </c>
      <c r="D16" s="6">
        <v>2.3800000000000002E-2</v>
      </c>
      <c r="E16" s="3">
        <v>269</v>
      </c>
      <c r="F16" s="6">
        <v>2.8000000000000001E-2</v>
      </c>
      <c r="G16" s="9">
        <v>12642259</v>
      </c>
      <c r="H16">
        <f t="shared" si="0"/>
        <v>2.1277842828564105E-5</v>
      </c>
      <c r="I16" s="13">
        <f t="shared" si="1"/>
        <v>1.8492052168135077E-2</v>
      </c>
      <c r="J16" s="5">
        <f t="shared" si="2"/>
        <v>-1.1157909691198245E-3</v>
      </c>
      <c r="L16">
        <f t="shared" si="3"/>
        <v>18492.052168135076</v>
      </c>
    </row>
    <row r="17" spans="1:12" x14ac:dyDescent="0.3">
      <c r="A17" s="10" t="s">
        <v>89</v>
      </c>
      <c r="B17" s="4" t="s">
        <v>35</v>
      </c>
      <c r="C17" s="3">
        <v>275</v>
      </c>
      <c r="D17" s="6">
        <v>9.4000000000000004E-3</v>
      </c>
      <c r="E17" s="3">
        <v>109</v>
      </c>
      <c r="F17" s="6">
        <v>1.1299999999999999E-2</v>
      </c>
      <c r="G17" s="9">
        <v>6880131</v>
      </c>
      <c r="H17">
        <f t="shared" si="0"/>
        <v>1.5842721599341639E-5</v>
      </c>
      <c r="I17" s="13">
        <f t="shared" si="1"/>
        <v>1.376852139855928E-2</v>
      </c>
      <c r="J17" s="5">
        <f t="shared" si="2"/>
        <v>-5.8393217386956218E-3</v>
      </c>
      <c r="L17">
        <f t="shared" si="3"/>
        <v>13768.52139855928</v>
      </c>
    </row>
    <row r="18" spans="1:12" x14ac:dyDescent="0.3">
      <c r="A18" s="10" t="s">
        <v>90</v>
      </c>
      <c r="B18" s="4" t="s">
        <v>36</v>
      </c>
      <c r="C18" s="3">
        <v>188</v>
      </c>
      <c r="D18" s="6">
        <v>6.4000000000000003E-3</v>
      </c>
      <c r="E18" s="3">
        <v>72</v>
      </c>
      <c r="F18" s="6">
        <v>7.4999999999999997E-3</v>
      </c>
      <c r="G18" s="9">
        <v>3218414</v>
      </c>
      <c r="H18">
        <f t="shared" si="0"/>
        <v>2.2371267338508969E-5</v>
      </c>
      <c r="I18" s="13">
        <f t="shared" si="1"/>
        <v>1.9442320634855511E-2</v>
      </c>
      <c r="J18" s="5">
        <f t="shared" si="2"/>
        <v>-1.6552250239939073E-4</v>
      </c>
      <c r="L18">
        <f t="shared" si="3"/>
        <v>19442.32063485551</v>
      </c>
    </row>
    <row r="19" spans="1:12" x14ac:dyDescent="0.3">
      <c r="A19" s="10" t="s">
        <v>91</v>
      </c>
      <c r="B19" s="4" t="s">
        <v>37</v>
      </c>
      <c r="C19" s="3">
        <v>199</v>
      </c>
      <c r="D19" s="6">
        <v>6.7999999999999996E-3</v>
      </c>
      <c r="E19" s="3">
        <v>59</v>
      </c>
      <c r="F19" s="6">
        <v>6.1000000000000004E-3</v>
      </c>
      <c r="G19" s="9">
        <v>2951500</v>
      </c>
      <c r="H19">
        <f t="shared" si="0"/>
        <v>1.9989835676774523E-5</v>
      </c>
      <c r="I19" s="13">
        <f t="shared" si="1"/>
        <v>1.7372676692165773E-2</v>
      </c>
      <c r="J19" s="5">
        <f t="shared" si="2"/>
        <v>-2.235166445089129E-3</v>
      </c>
      <c r="L19">
        <f t="shared" si="3"/>
        <v>17372.676692165773</v>
      </c>
    </row>
    <row r="20" spans="1:12" x14ac:dyDescent="0.3">
      <c r="A20" s="10" t="s">
        <v>92</v>
      </c>
      <c r="B20" s="4" t="s">
        <v>38</v>
      </c>
      <c r="C20" s="3">
        <v>306</v>
      </c>
      <c r="D20" s="6">
        <v>1.0500000000000001E-2</v>
      </c>
      <c r="E20" s="3">
        <v>77</v>
      </c>
      <c r="F20" s="6">
        <v>8.0000000000000002E-3</v>
      </c>
      <c r="G20" s="9">
        <v>4550595</v>
      </c>
      <c r="H20">
        <f t="shared" si="0"/>
        <v>1.6920864194682233E-5</v>
      </c>
      <c r="I20" s="13">
        <f t="shared" si="1"/>
        <v>1.4705508727507992E-2</v>
      </c>
      <c r="J20" s="5">
        <f t="shared" si="2"/>
        <v>-4.9023344097469095E-3</v>
      </c>
      <c r="L20">
        <f t="shared" si="3"/>
        <v>14705.508727507991</v>
      </c>
    </row>
    <row r="21" spans="1:12" x14ac:dyDescent="0.3">
      <c r="A21" s="10" t="s">
        <v>93</v>
      </c>
      <c r="B21" s="4" t="s">
        <v>39</v>
      </c>
      <c r="C21" s="3">
        <v>229</v>
      </c>
      <c r="D21" s="6">
        <v>7.7999999999999996E-3</v>
      </c>
      <c r="E21" s="3">
        <v>97</v>
      </c>
      <c r="F21" s="6">
        <v>1.01E-2</v>
      </c>
      <c r="G21" s="9">
        <v>4588071</v>
      </c>
      <c r="H21">
        <f t="shared" si="0"/>
        <v>2.1141782679474664E-5</v>
      </c>
      <c r="I21" s="13">
        <f t="shared" si="1"/>
        <v>1.8373805624289544E-2</v>
      </c>
      <c r="J21" s="5">
        <f t="shared" si="2"/>
        <v>-1.234037512965358E-3</v>
      </c>
      <c r="L21">
        <f t="shared" si="3"/>
        <v>18373.805624289544</v>
      </c>
    </row>
    <row r="22" spans="1:12" x14ac:dyDescent="0.3">
      <c r="A22" s="10" t="s">
        <v>94</v>
      </c>
      <c r="B22" s="4" t="s">
        <v>40</v>
      </c>
      <c r="C22" s="3">
        <v>72</v>
      </c>
      <c r="D22" s="6">
        <v>2.5000000000000001E-3</v>
      </c>
      <c r="E22" s="3">
        <v>36</v>
      </c>
      <c r="F22" s="6">
        <v>3.7000000000000002E-3</v>
      </c>
      <c r="G22" s="9">
        <v>1399646</v>
      </c>
      <c r="H22">
        <f t="shared" si="0"/>
        <v>2.5720789399605329E-5</v>
      </c>
      <c r="I22" s="13">
        <f t="shared" si="1"/>
        <v>2.2353308237835802E-2</v>
      </c>
      <c r="J22" s="5">
        <f t="shared" si="2"/>
        <v>2.7454651005809003E-3</v>
      </c>
      <c r="L22">
        <f t="shared" si="3"/>
        <v>22353.308237835801</v>
      </c>
    </row>
    <row r="23" spans="1:12" x14ac:dyDescent="0.3">
      <c r="A23" s="10" t="s">
        <v>95</v>
      </c>
      <c r="B23" s="4" t="s">
        <v>41</v>
      </c>
      <c r="C23" s="3">
        <v>472</v>
      </c>
      <c r="D23" s="6">
        <v>1.61E-2</v>
      </c>
      <c r="E23" s="3">
        <v>152</v>
      </c>
      <c r="F23" s="6">
        <v>1.5800000000000002E-2</v>
      </c>
      <c r="G23" s="9">
        <v>6217062</v>
      </c>
      <c r="H23">
        <f t="shared" si="0"/>
        <v>2.4448847381608869E-5</v>
      </c>
      <c r="I23" s="13">
        <f t="shared" si="1"/>
        <v>2.1247894576256424E-2</v>
      </c>
      <c r="J23" s="5">
        <f t="shared" si="2"/>
        <v>1.6400514390015226E-3</v>
      </c>
      <c r="L23">
        <f t="shared" si="3"/>
        <v>21247.894576256425</v>
      </c>
    </row>
    <row r="24" spans="1:12" s="20" customFormat="1" ht="28.8" x14ac:dyDescent="0.3">
      <c r="A24" s="14" t="s">
        <v>96</v>
      </c>
      <c r="B24" s="15" t="s">
        <v>42</v>
      </c>
      <c r="C24" s="16">
        <v>267</v>
      </c>
      <c r="D24" s="17">
        <v>9.1000000000000004E-3</v>
      </c>
      <c r="E24" s="16">
        <v>84</v>
      </c>
      <c r="F24" s="17">
        <v>8.6999999999999994E-3</v>
      </c>
      <c r="G24" s="18">
        <v>7066568</v>
      </c>
      <c r="H24" s="20">
        <f t="shared" si="0"/>
        <v>1.1886958421683623E-5</v>
      </c>
      <c r="I24" s="19">
        <f t="shared" si="1"/>
        <v>1.0330664486304974E-2</v>
      </c>
      <c r="J24" s="21">
        <f t="shared" si="2"/>
        <v>-9.2771786509499281E-3</v>
      </c>
      <c r="L24" s="20">
        <f t="shared" si="3"/>
        <v>10330.664486304973</v>
      </c>
    </row>
    <row r="25" spans="1:12" x14ac:dyDescent="0.3">
      <c r="A25" s="10" t="s">
        <v>97</v>
      </c>
      <c r="B25" s="4" t="s">
        <v>43</v>
      </c>
      <c r="C25" s="3">
        <v>764</v>
      </c>
      <c r="D25" s="6">
        <v>2.6100000000000002E-2</v>
      </c>
      <c r="E25" s="3">
        <v>254</v>
      </c>
      <c r="F25" s="6">
        <v>2.64E-2</v>
      </c>
      <c r="G25" s="9">
        <v>10083356</v>
      </c>
      <c r="H25">
        <f t="shared" si="0"/>
        <v>2.5190026019115066E-5</v>
      </c>
      <c r="I25" s="13">
        <f t="shared" si="1"/>
        <v>2.1892034780745227E-2</v>
      </c>
      <c r="J25" s="5">
        <f t="shared" si="2"/>
        <v>2.2841916434903249E-3</v>
      </c>
      <c r="L25">
        <f t="shared" si="3"/>
        <v>21892.034780745227</v>
      </c>
    </row>
    <row r="26" spans="1:12" ht="28.8" x14ac:dyDescent="0.3">
      <c r="A26" s="10" t="s">
        <v>98</v>
      </c>
      <c r="B26" s="4" t="s">
        <v>44</v>
      </c>
      <c r="C26" s="3">
        <v>203</v>
      </c>
      <c r="D26" s="6">
        <v>6.8999999999999999E-3</v>
      </c>
      <c r="E26" s="3">
        <v>73</v>
      </c>
      <c r="F26" s="6">
        <v>7.6E-3</v>
      </c>
      <c r="G26" s="9">
        <v>5753048</v>
      </c>
      <c r="H26">
        <f t="shared" si="0"/>
        <v>1.2688925939780095E-5</v>
      </c>
      <c r="I26" s="13">
        <f t="shared" si="1"/>
        <v>1.1027634818367087E-2</v>
      </c>
      <c r="J26" s="5">
        <f t="shared" si="2"/>
        <v>-8.5802083188878144E-3</v>
      </c>
      <c r="L26">
        <f t="shared" si="3"/>
        <v>11027.634818367087</v>
      </c>
    </row>
    <row r="27" spans="1:12" ht="28.8" x14ac:dyDescent="0.3">
      <c r="A27" s="10" t="s">
        <v>99</v>
      </c>
      <c r="B27" s="4" t="s">
        <v>45</v>
      </c>
      <c r="C27" s="3">
        <v>271</v>
      </c>
      <c r="D27" s="6">
        <v>9.2999999999999992E-3</v>
      </c>
      <c r="E27" s="3">
        <v>122</v>
      </c>
      <c r="F27" s="6">
        <v>1.2699999999999999E-2</v>
      </c>
      <c r="G27" s="9">
        <v>2943172</v>
      </c>
      <c r="H27">
        <f t="shared" si="0"/>
        <v>4.1451875731353793E-5</v>
      </c>
      <c r="I27" s="13">
        <f t="shared" si="1"/>
        <v>3.6024810158961709E-2</v>
      </c>
      <c r="J27" s="5">
        <f t="shared" si="2"/>
        <v>1.6416967021706808E-2</v>
      </c>
      <c r="L27">
        <f t="shared" si="3"/>
        <v>36024.810158961707</v>
      </c>
    </row>
    <row r="28" spans="1:12" x14ac:dyDescent="0.3">
      <c r="A28" s="10" t="s">
        <v>100</v>
      </c>
      <c r="B28" s="4" t="s">
        <v>46</v>
      </c>
      <c r="C28" s="3">
        <v>686</v>
      </c>
      <c r="D28" s="6">
        <v>2.3400000000000001E-2</v>
      </c>
      <c r="E28" s="3">
        <v>247</v>
      </c>
      <c r="F28" s="6">
        <v>2.5700000000000001E-2</v>
      </c>
      <c r="G28" s="9">
        <v>6208038</v>
      </c>
      <c r="H28">
        <f t="shared" si="0"/>
        <v>3.9787127591680335E-5</v>
      </c>
      <c r="I28" s="13">
        <f t="shared" si="1"/>
        <v>3.457801831574342E-2</v>
      </c>
      <c r="J28" s="5">
        <f t="shared" si="2"/>
        <v>1.4970175178488518E-2</v>
      </c>
      <c r="L28">
        <f t="shared" si="3"/>
        <v>34578.018315743422</v>
      </c>
    </row>
    <row r="29" spans="1:12" x14ac:dyDescent="0.3">
      <c r="A29" s="10" t="s">
        <v>101</v>
      </c>
      <c r="B29" s="4" t="s">
        <v>47</v>
      </c>
      <c r="C29" s="3">
        <v>97</v>
      </c>
      <c r="D29" s="6">
        <v>3.3E-3</v>
      </c>
      <c r="E29" s="3">
        <v>29</v>
      </c>
      <c r="F29" s="6">
        <v>3.0000000000000001E-3</v>
      </c>
      <c r="G29" s="9">
        <v>1131302</v>
      </c>
      <c r="H29">
        <f t="shared" si="0"/>
        <v>2.5634180793457451E-5</v>
      </c>
      <c r="I29" s="13">
        <f t="shared" si="1"/>
        <v>2.2278038819032408E-2</v>
      </c>
      <c r="J29" s="5">
        <f t="shared" si="2"/>
        <v>2.6701956817775062E-3</v>
      </c>
      <c r="L29">
        <f t="shared" si="3"/>
        <v>22278.038819032408</v>
      </c>
    </row>
    <row r="30" spans="1:12" x14ac:dyDescent="0.3">
      <c r="A30" s="10" t="s">
        <v>102</v>
      </c>
      <c r="B30" s="4" t="s">
        <v>48</v>
      </c>
      <c r="C30" s="3">
        <v>111</v>
      </c>
      <c r="D30" s="6">
        <v>3.8E-3</v>
      </c>
      <c r="E30" s="3">
        <v>23</v>
      </c>
      <c r="F30" s="6">
        <v>2.3999999999999998E-3</v>
      </c>
      <c r="G30" s="9">
        <v>1987864</v>
      </c>
      <c r="H30">
        <f t="shared" si="0"/>
        <v>1.1570208022279191E-5</v>
      </c>
      <c r="I30" s="13">
        <f t="shared" si="1"/>
        <v>1.0055384470503689E-2</v>
      </c>
      <c r="J30" s="5">
        <f t="shared" si="2"/>
        <v>-9.5524586667512131E-3</v>
      </c>
      <c r="L30">
        <f t="shared" si="3"/>
        <v>10055.384470503688</v>
      </c>
    </row>
    <row r="31" spans="1:12" x14ac:dyDescent="0.3">
      <c r="A31" s="10" t="s">
        <v>103</v>
      </c>
      <c r="B31" s="4" t="s">
        <v>49</v>
      </c>
      <c r="C31" s="3">
        <v>490</v>
      </c>
      <c r="D31" s="6">
        <v>1.67E-2</v>
      </c>
      <c r="E31" s="3">
        <v>188</v>
      </c>
      <c r="F31" s="6">
        <v>1.9599999999999999E-2</v>
      </c>
      <c r="G31" s="9">
        <v>3214363</v>
      </c>
      <c r="H31">
        <f t="shared" si="0"/>
        <v>5.8487482589863061E-5</v>
      </c>
      <c r="I31" s="13">
        <f t="shared" si="1"/>
        <v>5.0830038925878583E-2</v>
      </c>
      <c r="J31" s="5">
        <f t="shared" si="2"/>
        <v>3.1222195788623681E-2</v>
      </c>
      <c r="L31">
        <f t="shared" si="3"/>
        <v>50830.03892587858</v>
      </c>
    </row>
    <row r="32" spans="1:12" ht="43.2" x14ac:dyDescent="0.3">
      <c r="A32" s="10" t="s">
        <v>104</v>
      </c>
      <c r="B32" s="4" t="s">
        <v>50</v>
      </c>
      <c r="C32" s="3">
        <v>75</v>
      </c>
      <c r="D32" s="6">
        <v>2.5999999999999999E-3</v>
      </c>
      <c r="E32" s="3">
        <v>29</v>
      </c>
      <c r="F32" s="6">
        <v>3.0000000000000001E-3</v>
      </c>
      <c r="G32" s="9">
        <v>1402199</v>
      </c>
      <c r="H32">
        <f t="shared" si="0"/>
        <v>2.0681800514762883E-5</v>
      </c>
      <c r="I32" s="13">
        <f t="shared" si="1"/>
        <v>1.7974046388600333E-2</v>
      </c>
      <c r="J32" s="5">
        <f t="shared" si="2"/>
        <v>-1.6337967486545688E-3</v>
      </c>
      <c r="L32">
        <f t="shared" si="3"/>
        <v>17974.046388600334</v>
      </c>
    </row>
    <row r="33" spans="1:12" ht="28.8" x14ac:dyDescent="0.3">
      <c r="A33" s="10" t="s">
        <v>105</v>
      </c>
      <c r="B33" s="4" t="s">
        <v>51</v>
      </c>
      <c r="C33" s="3">
        <v>471</v>
      </c>
      <c r="D33" s="6">
        <v>1.61E-2</v>
      </c>
      <c r="E33" s="3">
        <v>172</v>
      </c>
      <c r="F33" s="6">
        <v>1.7899999999999999E-2</v>
      </c>
      <c r="G33" s="9">
        <v>9379642</v>
      </c>
      <c r="H33">
        <f t="shared" si="0"/>
        <v>1.8337586871652458E-5</v>
      </c>
      <c r="I33" s="13">
        <f t="shared" si="1"/>
        <v>1.5936747714532757E-2</v>
      </c>
      <c r="J33" s="5">
        <f t="shared" si="2"/>
        <v>-3.6710954227221447E-3</v>
      </c>
      <c r="L33">
        <f t="shared" si="3"/>
        <v>15936.747714532758</v>
      </c>
    </row>
    <row r="34" spans="1:12" ht="28.8" x14ac:dyDescent="0.3">
      <c r="A34" s="10" t="s">
        <v>106</v>
      </c>
      <c r="B34" s="4" t="s">
        <v>52</v>
      </c>
      <c r="C34" s="3">
        <v>198</v>
      </c>
      <c r="D34" s="6">
        <v>6.7999999999999996E-3</v>
      </c>
      <c r="E34" s="3">
        <v>40</v>
      </c>
      <c r="F34" s="6">
        <v>4.1999999999999997E-3</v>
      </c>
      <c r="G34" s="9">
        <v>2121164</v>
      </c>
      <c r="H34">
        <f t="shared" si="0"/>
        <v>1.8857570654602849E-5</v>
      </c>
      <c r="I34" s="13">
        <f t="shared" si="1"/>
        <v>1.6388652887363273E-2</v>
      </c>
      <c r="J34" s="5">
        <f t="shared" si="2"/>
        <v>-3.2191902498916285E-3</v>
      </c>
      <c r="L34">
        <f t="shared" si="3"/>
        <v>16388.652887363274</v>
      </c>
    </row>
    <row r="35" spans="1:12" x14ac:dyDescent="0.3">
      <c r="A35" s="10" t="s">
        <v>107</v>
      </c>
      <c r="B35" s="4" t="s">
        <v>53</v>
      </c>
      <c r="C35" s="3">
        <v>1196</v>
      </c>
      <c r="D35" s="6">
        <v>4.0899999999999999E-2</v>
      </c>
      <c r="E35" s="3">
        <v>413</v>
      </c>
      <c r="F35" s="6">
        <v>4.2999999999999997E-2</v>
      </c>
      <c r="G35" s="9">
        <v>19737367</v>
      </c>
      <c r="H35">
        <f t="shared" si="0"/>
        <v>2.0924776845868044E-5</v>
      </c>
      <c r="I35" s="13">
        <f t="shared" si="1"/>
        <v>1.8185211168160926E-2</v>
      </c>
      <c r="J35" s="5">
        <f t="shared" si="2"/>
        <v>-1.4226319690939758E-3</v>
      </c>
      <c r="L35">
        <f t="shared" si="3"/>
        <v>18185.211168160928</v>
      </c>
    </row>
    <row r="36" spans="1:12" ht="28.8" x14ac:dyDescent="0.3">
      <c r="A36" s="10" t="s">
        <v>108</v>
      </c>
      <c r="B36" s="4" t="s">
        <v>54</v>
      </c>
      <c r="C36" s="3">
        <v>659</v>
      </c>
      <c r="D36" s="6">
        <v>2.2499999999999999E-2</v>
      </c>
      <c r="E36" s="3">
        <v>235</v>
      </c>
      <c r="F36" s="6">
        <v>2.4500000000000001E-2</v>
      </c>
      <c r="G36" s="9">
        <v>10881189</v>
      </c>
      <c r="H36">
        <f t="shared" si="0"/>
        <v>2.1596904529459049E-5</v>
      </c>
      <c r="I36" s="13">
        <f t="shared" si="1"/>
        <v>1.8769340879464535E-2</v>
      </c>
      <c r="J36" s="5">
        <f t="shared" si="2"/>
        <v>-8.3850225779036683E-4</v>
      </c>
      <c r="L36">
        <f t="shared" si="3"/>
        <v>18769.340879464537</v>
      </c>
    </row>
    <row r="37" spans="1:12" ht="28.8" x14ac:dyDescent="0.3">
      <c r="A37" s="10" t="s">
        <v>109</v>
      </c>
      <c r="B37" s="4" t="s">
        <v>55</v>
      </c>
      <c r="C37" s="3">
        <v>56</v>
      </c>
      <c r="D37" s="6">
        <v>1.9E-3</v>
      </c>
      <c r="E37" s="3">
        <v>14</v>
      </c>
      <c r="F37" s="6">
        <v>1.5E-3</v>
      </c>
      <c r="G37" s="9">
        <v>789047</v>
      </c>
      <c r="H37">
        <f t="shared" si="0"/>
        <v>1.7742922791671473E-5</v>
      </c>
      <c r="I37" s="13">
        <f t="shared" si="1"/>
        <v>1.5419939724262132E-2</v>
      </c>
      <c r="J37" s="5">
        <f t="shared" si="2"/>
        <v>-4.18790341299277E-3</v>
      </c>
      <c r="L37">
        <f t="shared" si="3"/>
        <v>15419.939724262133</v>
      </c>
    </row>
    <row r="38" spans="1:12" ht="43.2" x14ac:dyDescent="0.3">
      <c r="A38" s="11"/>
      <c r="B38" s="4" t="s">
        <v>56</v>
      </c>
      <c r="C38" s="3">
        <v>0</v>
      </c>
      <c r="D38" s="6">
        <v>0</v>
      </c>
      <c r="E38" s="3">
        <v>0</v>
      </c>
      <c r="F38" s="6">
        <v>0</v>
      </c>
      <c r="G38" s="9"/>
      <c r="I38" s="13">
        <f t="shared" si="1"/>
        <v>0</v>
      </c>
      <c r="J38" s="5">
        <f t="shared" si="2"/>
        <v>-1.9607843137254902E-2</v>
      </c>
      <c r="L38">
        <f t="shared" si="3"/>
        <v>0</v>
      </c>
    </row>
    <row r="39" spans="1:12" x14ac:dyDescent="0.3">
      <c r="A39" s="10" t="s">
        <v>110</v>
      </c>
      <c r="B39" s="4" t="s">
        <v>57</v>
      </c>
      <c r="C39" s="3">
        <v>765</v>
      </c>
      <c r="D39" s="6">
        <v>2.6100000000000002E-2</v>
      </c>
      <c r="E39" s="3">
        <v>258</v>
      </c>
      <c r="F39" s="6">
        <v>2.69E-2</v>
      </c>
      <c r="G39" s="9">
        <v>11824034</v>
      </c>
      <c r="H39">
        <f t="shared" si="0"/>
        <v>2.1819964320129661E-5</v>
      </c>
      <c r="I39" s="13">
        <f t="shared" si="1"/>
        <v>1.8963196681433186E-2</v>
      </c>
      <c r="J39" s="5">
        <f t="shared" si="2"/>
        <v>-6.446464558217159E-4</v>
      </c>
      <c r="L39">
        <f t="shared" si="3"/>
        <v>18963.196681433186</v>
      </c>
    </row>
    <row r="40" spans="1:12" ht="28.8" x14ac:dyDescent="0.3">
      <c r="A40" s="10" t="s">
        <v>111</v>
      </c>
      <c r="B40" s="4" t="s">
        <v>58</v>
      </c>
      <c r="C40" s="3">
        <v>311</v>
      </c>
      <c r="D40" s="6">
        <v>1.06E-2</v>
      </c>
      <c r="E40" s="3">
        <v>68</v>
      </c>
      <c r="F40" s="6">
        <v>7.1000000000000004E-3</v>
      </c>
      <c r="G40" s="9">
        <v>4063882</v>
      </c>
      <c r="H40">
        <f t="shared" si="0"/>
        <v>1.6732769307770253E-5</v>
      </c>
      <c r="I40" s="13">
        <f t="shared" si="1"/>
        <v>1.4542040067204399E-2</v>
      </c>
      <c r="J40" s="5">
        <f t="shared" si="2"/>
        <v>-5.0658030700505025E-3</v>
      </c>
      <c r="L40">
        <f t="shared" si="3"/>
        <v>14542.0400672044</v>
      </c>
    </row>
    <row r="41" spans="1:12" x14ac:dyDescent="0.3">
      <c r="A41" s="10" t="s">
        <v>112</v>
      </c>
      <c r="B41" s="4" t="s">
        <v>59</v>
      </c>
      <c r="C41" s="3">
        <v>405</v>
      </c>
      <c r="D41" s="6">
        <v>1.38E-2</v>
      </c>
      <c r="E41" s="3">
        <v>134</v>
      </c>
      <c r="F41" s="6">
        <v>1.4E-2</v>
      </c>
      <c r="G41" s="9">
        <v>4253653</v>
      </c>
      <c r="H41">
        <f t="shared" si="0"/>
        <v>3.1502334581593751E-5</v>
      </c>
      <c r="I41" s="13">
        <f t="shared" si="1"/>
        <v>2.7377907581818021E-2</v>
      </c>
      <c r="J41" s="5">
        <f t="shared" si="2"/>
        <v>7.7700644445631191E-3</v>
      </c>
      <c r="L41">
        <f t="shared" si="3"/>
        <v>27377.907581818021</v>
      </c>
    </row>
    <row r="42" spans="1:12" ht="28.8" x14ac:dyDescent="0.3">
      <c r="A42" s="10" t="s">
        <v>113</v>
      </c>
      <c r="B42" s="4" t="s">
        <v>60</v>
      </c>
      <c r="C42" s="3">
        <v>597</v>
      </c>
      <c r="D42" s="6">
        <v>2.0400000000000001E-2</v>
      </c>
      <c r="E42" s="3">
        <v>221</v>
      </c>
      <c r="F42" s="6">
        <v>2.3E-2</v>
      </c>
      <c r="G42" s="9">
        <v>13017721</v>
      </c>
      <c r="H42">
        <f t="shared" si="0"/>
        <v>1.6976857930816001E-5</v>
      </c>
      <c r="I42" s="13">
        <f t="shared" si="1"/>
        <v>1.4754171512453675E-2</v>
      </c>
      <c r="J42" s="5">
        <f t="shared" si="2"/>
        <v>-4.8536716248012268E-3</v>
      </c>
      <c r="L42">
        <f t="shared" si="3"/>
        <v>14754.171512453675</v>
      </c>
    </row>
    <row r="43" spans="1:12" ht="28.8" x14ac:dyDescent="0.3">
      <c r="A43" s="11"/>
      <c r="B43" s="4" t="s">
        <v>61</v>
      </c>
      <c r="C43" s="3">
        <v>14</v>
      </c>
      <c r="D43" s="6">
        <v>5.0000000000000001E-4</v>
      </c>
      <c r="E43" s="3">
        <v>4</v>
      </c>
      <c r="F43" s="6">
        <v>4.0000000000000002E-4</v>
      </c>
      <c r="G43" s="9"/>
      <c r="I43" s="13">
        <f t="shared" si="1"/>
        <v>0</v>
      </c>
      <c r="J43" s="5">
        <f t="shared" si="2"/>
        <v>-1.9607843137254902E-2</v>
      </c>
      <c r="L43">
        <f t="shared" si="3"/>
        <v>0</v>
      </c>
    </row>
    <row r="44" spans="1:12" ht="28.8" x14ac:dyDescent="0.3">
      <c r="A44" s="10" t="s">
        <v>114</v>
      </c>
      <c r="B44" s="4" t="s">
        <v>62</v>
      </c>
      <c r="C44" s="3">
        <v>25</v>
      </c>
      <c r="D44" s="6">
        <v>8.9999999999999998E-4</v>
      </c>
      <c r="E44" s="3">
        <v>12</v>
      </c>
      <c r="F44" s="6">
        <v>1.1999999999999999E-3</v>
      </c>
      <c r="G44" s="9">
        <v>1103429</v>
      </c>
      <c r="H44">
        <f t="shared" si="0"/>
        <v>1.0875189975974893E-5</v>
      </c>
      <c r="I44" s="13">
        <f t="shared" si="1"/>
        <v>9.4513613054861799E-3</v>
      </c>
      <c r="J44" s="5">
        <f t="shared" si="2"/>
        <v>-1.0156481831768722E-2</v>
      </c>
      <c r="L44">
        <f t="shared" si="3"/>
        <v>9451.3613054861798</v>
      </c>
    </row>
    <row r="45" spans="1:12" ht="28.8" x14ac:dyDescent="0.3">
      <c r="A45" s="10" t="s">
        <v>115</v>
      </c>
      <c r="B45" s="4" t="s">
        <v>63</v>
      </c>
      <c r="C45" s="3">
        <v>206</v>
      </c>
      <c r="D45" s="6">
        <v>7.0000000000000001E-3</v>
      </c>
      <c r="E45" s="3">
        <v>65</v>
      </c>
      <c r="F45" s="6">
        <v>6.7999999999999996E-3</v>
      </c>
      <c r="G45" s="9">
        <v>5387830</v>
      </c>
      <c r="H45">
        <f t="shared" si="0"/>
        <v>1.2064226228370235E-5</v>
      </c>
      <c r="I45" s="13">
        <f t="shared" si="1"/>
        <v>1.0484723596309262E-2</v>
      </c>
      <c r="J45" s="5">
        <f t="shared" si="2"/>
        <v>-9.1231195409456397E-3</v>
      </c>
      <c r="L45">
        <f t="shared" si="3"/>
        <v>10484.723596309263</v>
      </c>
    </row>
    <row r="46" spans="1:12" ht="28.8" x14ac:dyDescent="0.3">
      <c r="A46" s="10" t="s">
        <v>116</v>
      </c>
      <c r="B46" s="4" t="s">
        <v>64</v>
      </c>
      <c r="C46" s="3">
        <v>57</v>
      </c>
      <c r="D46" s="6">
        <v>1.9E-3</v>
      </c>
      <c r="E46" s="3">
        <v>17</v>
      </c>
      <c r="F46" s="6">
        <v>1.8E-3</v>
      </c>
      <c r="G46" s="9">
        <v>918305</v>
      </c>
      <c r="H46">
        <f t="shared" si="0"/>
        <v>1.8512367895198218E-5</v>
      </c>
      <c r="I46" s="13">
        <f t="shared" si="1"/>
        <v>1.6088645622203614E-2</v>
      </c>
      <c r="J46" s="5">
        <f t="shared" si="2"/>
        <v>-3.519197515051288E-3</v>
      </c>
      <c r="L46">
        <f t="shared" si="3"/>
        <v>16088.645622203614</v>
      </c>
    </row>
    <row r="47" spans="1:12" ht="28.8" x14ac:dyDescent="0.3">
      <c r="A47" s="10" t="s">
        <v>117</v>
      </c>
      <c r="B47" s="4" t="s">
        <v>65</v>
      </c>
      <c r="C47" s="3">
        <v>294</v>
      </c>
      <c r="D47" s="6">
        <v>0.01</v>
      </c>
      <c r="E47" s="3">
        <v>115</v>
      </c>
      <c r="F47" s="6">
        <v>1.2E-2</v>
      </c>
      <c r="G47" s="9">
        <v>7148304</v>
      </c>
      <c r="H47">
        <f t="shared" si="0"/>
        <v>1.6087732138980098E-5</v>
      </c>
      <c r="I47" s="13">
        <f t="shared" si="1"/>
        <v>1.3981454058944151E-2</v>
      </c>
      <c r="J47" s="5">
        <f t="shared" si="2"/>
        <v>-5.626389078310751E-3</v>
      </c>
      <c r="L47">
        <f t="shared" si="3"/>
        <v>13981.454058944151</v>
      </c>
    </row>
    <row r="48" spans="1:12" x14ac:dyDescent="0.3">
      <c r="A48" s="10" t="s">
        <v>118</v>
      </c>
      <c r="B48" s="4" t="s">
        <v>66</v>
      </c>
      <c r="C48" s="3">
        <v>2309</v>
      </c>
      <c r="D48" s="6">
        <v>7.8899999999999998E-2</v>
      </c>
      <c r="E48" s="3">
        <v>900</v>
      </c>
      <c r="F48" s="6">
        <v>9.3700000000000006E-2</v>
      </c>
      <c r="G48" s="9">
        <v>30727890</v>
      </c>
      <c r="H48">
        <f t="shared" si="0"/>
        <v>2.9289352441706865E-5</v>
      </c>
      <c r="I48" s="13">
        <f t="shared" si="1"/>
        <v>2.5454658993713797E-2</v>
      </c>
      <c r="J48" s="5">
        <f t="shared" si="2"/>
        <v>5.8468158564588951E-3</v>
      </c>
      <c r="L48">
        <f t="shared" si="3"/>
        <v>25454.658993713798</v>
      </c>
    </row>
    <row r="49" spans="1:12" ht="43.2" x14ac:dyDescent="0.3">
      <c r="A49" s="11"/>
      <c r="B49" s="4" t="s">
        <v>67</v>
      </c>
      <c r="C49" s="3">
        <v>0</v>
      </c>
      <c r="D49" s="6">
        <v>0</v>
      </c>
      <c r="E49" s="3">
        <v>0</v>
      </c>
      <c r="F49" s="6">
        <v>0</v>
      </c>
      <c r="G49" s="9"/>
      <c r="I49" s="13">
        <f t="shared" si="1"/>
        <v>0</v>
      </c>
      <c r="J49" s="5">
        <f t="shared" si="2"/>
        <v>-1.9607843137254902E-2</v>
      </c>
      <c r="L49">
        <f t="shared" si="3"/>
        <v>0</v>
      </c>
    </row>
    <row r="50" spans="1:12" x14ac:dyDescent="0.3">
      <c r="A50" s="10" t="s">
        <v>119</v>
      </c>
      <c r="B50" s="4" t="s">
        <v>68</v>
      </c>
      <c r="C50" s="3">
        <v>267</v>
      </c>
      <c r="D50" s="6">
        <v>9.1000000000000004E-3</v>
      </c>
      <c r="E50" s="3">
        <v>97</v>
      </c>
      <c r="F50" s="6">
        <v>1.01E-2</v>
      </c>
      <c r="G50" s="9">
        <v>3443222</v>
      </c>
      <c r="H50">
        <f t="shared" si="0"/>
        <v>2.8171288403710244E-5</v>
      </c>
      <c r="I50" s="13">
        <f t="shared" si="1"/>
        <v>2.4482976916515912E-2</v>
      </c>
      <c r="J50" s="5">
        <f t="shared" si="2"/>
        <v>4.8751337792610101E-3</v>
      </c>
      <c r="L50">
        <f t="shared" si="3"/>
        <v>24482.976916515912</v>
      </c>
    </row>
    <row r="51" spans="1:12" x14ac:dyDescent="0.3">
      <c r="A51" s="10" t="s">
        <v>120</v>
      </c>
      <c r="B51" s="4" t="s">
        <v>69</v>
      </c>
      <c r="C51" s="3">
        <v>19</v>
      </c>
      <c r="D51" s="6">
        <v>5.9999999999999995E-4</v>
      </c>
      <c r="E51" s="3">
        <v>7</v>
      </c>
      <c r="F51" s="6">
        <v>6.9999999999999999E-4</v>
      </c>
      <c r="G51" s="9">
        <v>648708</v>
      </c>
      <c r="H51">
        <f t="shared" si="0"/>
        <v>1.0790679319508931E-5</v>
      </c>
      <c r="I51" s="13">
        <f t="shared" si="1"/>
        <v>9.3779151633784849E-3</v>
      </c>
      <c r="J51" s="5">
        <f t="shared" si="2"/>
        <v>-1.0229927973876417E-2</v>
      </c>
      <c r="L51">
        <f t="shared" si="3"/>
        <v>9377.9151633784841</v>
      </c>
    </row>
    <row r="52" spans="1:12" x14ac:dyDescent="0.3">
      <c r="A52" s="10" t="s">
        <v>121</v>
      </c>
      <c r="B52" s="4" t="s">
        <v>70</v>
      </c>
      <c r="C52" s="3">
        <v>513</v>
      </c>
      <c r="D52" s="6">
        <v>1.7500000000000002E-2</v>
      </c>
      <c r="E52" s="3">
        <v>156</v>
      </c>
      <c r="F52" s="6">
        <v>1.6199999999999999E-2</v>
      </c>
      <c r="G52" s="9">
        <v>8734685</v>
      </c>
      <c r="H52">
        <f t="shared" si="0"/>
        <v>1.785983123604343E-5</v>
      </c>
      <c r="I52" s="13">
        <f t="shared" si="1"/>
        <v>1.5521541990508763E-2</v>
      </c>
      <c r="J52" s="5">
        <f t="shared" si="2"/>
        <v>-4.0863011467461383E-3</v>
      </c>
      <c r="L52">
        <f t="shared" si="3"/>
        <v>15521.541990508764</v>
      </c>
    </row>
    <row r="53" spans="1:12" ht="28.8" x14ac:dyDescent="0.3">
      <c r="A53" s="10" t="s">
        <v>122</v>
      </c>
      <c r="B53" s="4" t="s">
        <v>71</v>
      </c>
      <c r="C53" s="3">
        <v>576</v>
      </c>
      <c r="D53" s="6">
        <v>1.9699999999999999E-2</v>
      </c>
      <c r="E53" s="3">
        <v>203</v>
      </c>
      <c r="F53" s="6">
        <v>2.1100000000000001E-2</v>
      </c>
      <c r="G53" s="9">
        <v>7857320</v>
      </c>
      <c r="H53">
        <f t="shared" si="0"/>
        <v>2.5835781156933916E-5</v>
      </c>
      <c r="I53" s="13">
        <f t="shared" si="1"/>
        <v>2.2453244758307286E-2</v>
      </c>
      <c r="J53" s="5">
        <f t="shared" si="2"/>
        <v>2.845401621052384E-3</v>
      </c>
      <c r="L53">
        <f t="shared" si="3"/>
        <v>22453.244758307286</v>
      </c>
    </row>
    <row r="54" spans="1:12" ht="28.8" x14ac:dyDescent="0.3">
      <c r="A54" s="10" t="s">
        <v>123</v>
      </c>
      <c r="B54" s="4" t="s">
        <v>72</v>
      </c>
      <c r="C54" s="3">
        <v>70</v>
      </c>
      <c r="D54" s="6">
        <v>2.3999999999999998E-3</v>
      </c>
      <c r="E54" s="3">
        <v>29</v>
      </c>
      <c r="F54" s="6">
        <v>3.0000000000000001E-3</v>
      </c>
      <c r="G54" s="9">
        <v>1770495</v>
      </c>
      <c r="H54">
        <f t="shared" si="0"/>
        <v>1.6379600055351751E-5</v>
      </c>
      <c r="I54" s="13">
        <f t="shared" si="1"/>
        <v>1.4235109318043258E-2</v>
      </c>
      <c r="J54" s="5">
        <f t="shared" si="2"/>
        <v>-5.372733819211644E-3</v>
      </c>
      <c r="L54">
        <f t="shared" si="3"/>
        <v>14235.109318043258</v>
      </c>
    </row>
    <row r="55" spans="1:12" ht="28.8" x14ac:dyDescent="0.3">
      <c r="A55" s="10" t="s">
        <v>124</v>
      </c>
      <c r="B55" s="4" t="s">
        <v>73</v>
      </c>
      <c r="C55" s="3">
        <v>259</v>
      </c>
      <c r="D55" s="6">
        <v>8.8000000000000005E-3</v>
      </c>
      <c r="E55" s="3">
        <v>109</v>
      </c>
      <c r="F55" s="6">
        <v>1.1299999999999999E-2</v>
      </c>
      <c r="G55" s="9">
        <v>5930405</v>
      </c>
      <c r="H55">
        <f t="shared" si="0"/>
        <v>1.8379857699431994E-5</v>
      </c>
      <c r="I55" s="13">
        <f t="shared" si="1"/>
        <v>1.5973484255862973E-2</v>
      </c>
      <c r="J55" s="5">
        <f t="shared" si="2"/>
        <v>-3.6343588813919289E-3</v>
      </c>
      <c r="L55">
        <f t="shared" si="3"/>
        <v>15973.484255862973</v>
      </c>
    </row>
    <row r="56" spans="1:12" x14ac:dyDescent="0.3">
      <c r="A56" s="10" t="s">
        <v>125</v>
      </c>
      <c r="B56" s="4" t="s">
        <v>74</v>
      </c>
      <c r="C56" s="3">
        <v>25</v>
      </c>
      <c r="D56" s="6">
        <v>8.9999999999999998E-4</v>
      </c>
      <c r="E56" s="3">
        <v>12</v>
      </c>
      <c r="F56" s="6">
        <v>1.1999999999999999E-3</v>
      </c>
      <c r="G56" s="9">
        <v>585067</v>
      </c>
      <c r="H56">
        <f t="shared" si="0"/>
        <v>2.0510471450278344E-5</v>
      </c>
      <c r="I56" s="13">
        <f t="shared" si="1"/>
        <v>1.7825148494020872E-2</v>
      </c>
      <c r="J56" s="5">
        <f t="shared" si="2"/>
        <v>-1.7826946432340299E-3</v>
      </c>
      <c r="L56">
        <f t="shared" si="3"/>
        <v>17825.148494020872</v>
      </c>
    </row>
    <row r="57" spans="1:12" x14ac:dyDescent="0.3">
      <c r="A57" s="10"/>
    </row>
    <row r="58" spans="1:12" x14ac:dyDescent="0.3">
      <c r="A58" s="10"/>
    </row>
    <row r="59" spans="1:12" x14ac:dyDescent="0.3">
      <c r="A59" s="10"/>
    </row>
    <row r="60" spans="1:12" x14ac:dyDescent="0.3">
      <c r="A60" s="10"/>
    </row>
  </sheetData>
  <hyperlinks>
    <hyperlink ref="B2" r:id="rId1" location="year-2023" display="https://humantraffickinghotline.org/en/statistics/alabama - year-2023" xr:uid="{6A307E68-C08C-40A5-B0B1-C0EC226121C1}"/>
    <hyperlink ref="B3" r:id="rId2" location="year-2023" display="https://humantraffickinghotline.org/en/statistics/alaska - year-2023" xr:uid="{567C51C7-679C-4D3C-9C3A-DC670DADDD9B}"/>
    <hyperlink ref="B4" r:id="rId3" location="year-2023" display="https://humantraffickinghotline.org/en/statistics/arizona - year-2023" xr:uid="{6B8E8C71-EFC7-4BC9-8417-292C386C6FAB}"/>
    <hyperlink ref="B5" r:id="rId4" location="year-2023" display="https://humantraffickinghotline.org/en/statistics/arkansas - year-2023" xr:uid="{CC57CA21-689E-4526-83A6-CB7076FA20A6}"/>
    <hyperlink ref="B6" r:id="rId5" location="year-2023" display="https://humantraffickinghotline.org/en/statistics/california - year-2023" xr:uid="{C3531A13-31B7-4681-8677-79757BD32140}"/>
    <hyperlink ref="B7" r:id="rId6" location="year-2023" display="https://humantraffickinghotline.org/en/statistics/colorado - year-2023" xr:uid="{C3D45116-0CC6-4A67-BD35-BF9F70ADFF02}"/>
    <hyperlink ref="B8" r:id="rId7" location="year-2023" display="https://humantraffickinghotline.org/en/statistics/connecticut - year-2023" xr:uid="{71EFB7D7-951F-45A4-BF4A-528505E95C31}"/>
    <hyperlink ref="B9" r:id="rId8" location="year-2023" display="https://humantraffickinghotline.org/en/statistics/delaware - year-2023" xr:uid="{74C06081-763F-4931-AAC5-679100CC76E8}"/>
    <hyperlink ref="B10" r:id="rId9" location="year-2023" display="https://humantraffickinghotline.org/en/statistics/district-columbia - year-2023" xr:uid="{22415399-BFBE-4CCE-ACB1-A6C748514A86}"/>
    <hyperlink ref="B11" r:id="rId10" location="year-2023" display="https://humantraffickinghotline.org/en/statistics/florida - year-2023" xr:uid="{6297AF02-3B95-4333-9FCA-98F0A3542E36}"/>
    <hyperlink ref="B12" r:id="rId11" location="year-2023" display="https://humantraffickinghotline.org/en/statistics/georgia - year-2023" xr:uid="{B5368BB0-53DF-44E6-8B6B-6BB91F97AEFD}"/>
    <hyperlink ref="B13" r:id="rId12" location="year-2023" display="https://humantraffickinghotline.org/en/statistics/guam - year-2023" xr:uid="{F8368F24-63DA-424D-A1F4-17FA10172946}"/>
    <hyperlink ref="B14" r:id="rId13" location="year-2023" display="https://humantraffickinghotline.org/en/statistics/hawaii - year-2023" xr:uid="{A885698F-11A0-4765-AB45-A78BA49F053F}"/>
    <hyperlink ref="B15" r:id="rId14" location="year-2023" display="https://humantraffickinghotline.org/en/statistics/idaho - year-2023" xr:uid="{E2F32144-51BB-4596-90F0-F89CEACB1EDC}"/>
    <hyperlink ref="B16" r:id="rId15" location="year-2023" display="https://humantraffickinghotline.org/en/statistics/illinois - year-2023" xr:uid="{63EF72E7-8EB9-4A9D-86A6-4EC8A4D7AEFF}"/>
    <hyperlink ref="B17" r:id="rId16" location="year-2023" display="https://humantraffickinghotline.org/en/statistics/indiana - year-2023" xr:uid="{580DB47A-D74D-4788-B68F-4D38CC3C5514}"/>
    <hyperlink ref="B18" r:id="rId17" location="year-2023" display="https://humantraffickinghotline.org/en/statistics/iowa - year-2023" xr:uid="{47989396-2F32-4287-A7A1-F2FEED4C5F83}"/>
    <hyperlink ref="B19" r:id="rId18" location="year-2023" display="https://humantraffickinghotline.org/en/statistics/kansas - year-2023" xr:uid="{8D6C92E3-92EA-4F58-BDA4-763ADCE385FB}"/>
    <hyperlink ref="B20" r:id="rId19" location="year-2023" display="https://humantraffickinghotline.org/en/statistics/kentucky - year-2023" xr:uid="{F31B7AAF-61AB-4A2B-BAA1-F6403CD5F350}"/>
    <hyperlink ref="B21" r:id="rId20" location="year-2023" display="https://humantraffickinghotline.org/en/statistics/louisiana - year-2023" xr:uid="{6C25D408-11D9-4C3F-A56B-716E3F4FEF12}"/>
    <hyperlink ref="B22" r:id="rId21" location="year-2023" display="https://humantraffickinghotline.org/en/statistics/maine - year-2023" xr:uid="{5F5E3A8E-512E-4EFD-B879-29A600C57E21}"/>
    <hyperlink ref="B23" r:id="rId22" location="year-2023" display="https://humantraffickinghotline.org/en/statistics/maryland - year-2023" xr:uid="{05F92E97-6C61-4747-BC98-F9A61A1B786C}"/>
    <hyperlink ref="B24" r:id="rId23" location="year-2023" display="https://humantraffickinghotline.org/en/statistics/massachusetts - year-2023" xr:uid="{7BC2FA28-D1A1-49D2-AF50-65FD068EEEBE}"/>
    <hyperlink ref="B25" r:id="rId24" location="year-2023" display="https://humantraffickinghotline.org/en/statistics/michigan - year-2023" xr:uid="{43EC06BA-4C9C-44C3-B2B5-5873396BF72A}"/>
    <hyperlink ref="B26" r:id="rId25" location="year-2023" display="https://humantraffickinghotline.org/en/statistics/minnesota - year-2023" xr:uid="{8EFFE1DF-1983-4B3A-9E74-82F5CDB106FE}"/>
    <hyperlink ref="B27" r:id="rId26" location="year-2023" display="https://humantraffickinghotline.org/en/statistics/mississippi - year-2023" xr:uid="{E744563A-50AC-48F1-8C96-8AEEFB5F3DC7}"/>
    <hyperlink ref="B28" r:id="rId27" location="year-2023" display="https://humantraffickinghotline.org/en/statistics/missouri - year-2023" xr:uid="{46128125-4BAF-4232-944D-419D1B52C1C2}"/>
    <hyperlink ref="B29" r:id="rId28" location="year-2023" display="https://humantraffickinghotline.org/en/statistics/montana - year-2023" xr:uid="{BC5864C2-453C-43EE-A58B-81A0BB057B46}"/>
    <hyperlink ref="B30" r:id="rId29" location="year-2023" display="https://humantraffickinghotline.org/en/statistics/nebraska - year-2023" xr:uid="{F7E78909-8AF4-4CEF-8C24-5EDBB42D01CD}"/>
    <hyperlink ref="B31" r:id="rId30" location="year-2023" display="https://humantraffickinghotline.org/en/statistics/nevada - year-2023" xr:uid="{8BDB16F8-A4DB-4AF2-AB48-D4D20E42AA8C}"/>
    <hyperlink ref="B32" r:id="rId31" location="year-2023" display="https://humantraffickinghotline.org/en/statistics/new-hampshire - year-2023" xr:uid="{5AFAE1B3-446A-4144-ACA3-6B8B72A9422A}"/>
    <hyperlink ref="B33" r:id="rId32" location="year-2023" display="https://humantraffickinghotline.org/en/statistics/new-jersey - year-2023" xr:uid="{95011A35-7D52-49B2-9734-137E69B7E1D2}"/>
    <hyperlink ref="B34" r:id="rId33" location="year-2023" display="https://humantraffickinghotline.org/en/statistics/new-mexico - year-2023" xr:uid="{06EBF6FA-F248-4C54-BDBC-D39EE61CEF99}"/>
    <hyperlink ref="B35" r:id="rId34" location="year-2023" display="https://humantraffickinghotline.org/en/statistics/new-york - year-2023" xr:uid="{767E9A87-1A36-4472-9D0E-3BDC80B8E408}"/>
    <hyperlink ref="B36" r:id="rId35" location="year-2023" display="https://humantraffickinghotline.org/en/statistics/north-carolina - year-2023" xr:uid="{EBA41645-CBD9-48D4-8A72-4EF9F65D0304}"/>
    <hyperlink ref="B37" r:id="rId36" location="year-2023" display="https://humantraffickinghotline.org/en/statistics/north-dakota - year-2023" xr:uid="{94831488-CB42-45E5-A9F4-B0C5934A946C}"/>
    <hyperlink ref="B38" r:id="rId37" location="year-2023" display="https://humantraffickinghotline.org/en/statistics/northern-marianas-islands - year-2023" xr:uid="{30D8C13B-FFA9-4332-9241-094A654941F0}"/>
    <hyperlink ref="B39" r:id="rId38" location="year-2023" display="https://humantraffickinghotline.org/en/statistics/ohio - year-2023" xr:uid="{78077D10-0CC9-49EC-BB03-BFC6A84743DA}"/>
    <hyperlink ref="B40" r:id="rId39" location="year-2023" display="https://humantraffickinghotline.org/en/statistics/oklahoma - year-2023" xr:uid="{8DD417C9-9531-4061-85F3-6A3695FDB2F9}"/>
    <hyperlink ref="B41" r:id="rId40" location="year-2023" display="https://humantraffickinghotline.org/en/statistics/oregon - year-2023" xr:uid="{57B576A9-07FA-4666-9CF2-BF649E7D00FD}"/>
    <hyperlink ref="B42" r:id="rId41" location="year-2023" display="https://humantraffickinghotline.org/en/statistics/pennsylvania - year-2023" xr:uid="{A31691EB-73C6-4240-98E8-3792AD9B8349}"/>
    <hyperlink ref="B43" r:id="rId42" location="year-2023" display="https://humantraffickinghotline.org/en/statistics/puerto-rico - year-2023" xr:uid="{4506FD9A-951B-43E9-AD0D-A38DE09D1501}"/>
    <hyperlink ref="B44" r:id="rId43" location="year-2023" display="https://humantraffickinghotline.org/en/statistics/rhode-island - year-2023" xr:uid="{0B1C54D6-8483-41F6-9C1F-712349E7300A}"/>
    <hyperlink ref="B45" r:id="rId44" location="year-2023" display="https://humantraffickinghotline.org/en/statistics/south-carolina - year-2023" xr:uid="{05E43E7A-FBF9-4F1C-A0EB-A6BD43B8AE94}"/>
    <hyperlink ref="B46" r:id="rId45" location="year-2023" display="https://humantraffickinghotline.org/en/statistics/south-dakota - year-2023" xr:uid="{B5EE4FE0-2D1A-4B95-AE6B-BD1F8DD07538}"/>
    <hyperlink ref="B47" r:id="rId46" location="year-2023" display="https://humantraffickinghotline.org/en/statistics/tennessee - year-2023" xr:uid="{EBDE8F8E-AF2D-4107-BC2A-E172DA90963C}"/>
    <hyperlink ref="B48" r:id="rId47" location="year-2023" display="https://humantraffickinghotline.org/en/statistics/texas - year-2023" xr:uid="{696525C7-3355-42F4-8478-803131A9D7F8}"/>
    <hyperlink ref="B49" r:id="rId48" location="year-2023" display="https://humantraffickinghotline.org/en/statistics/us-virgin-islands - year-2023" xr:uid="{BB3DA182-76B1-4FD2-B07D-03FC1615709A}"/>
    <hyperlink ref="B50" r:id="rId49" location="year-2023" display="https://humantraffickinghotline.org/en/statistics/utah - year-2023" xr:uid="{4FADBCE4-702A-45D1-BE7D-F984B1CE6CBA}"/>
    <hyperlink ref="B51" r:id="rId50" location="year-2023" display="https://humantraffickinghotline.org/en/statistics/vermont - year-2023" xr:uid="{5E113CC4-8933-476C-95B5-374D84A021BA}"/>
    <hyperlink ref="B52" r:id="rId51" location="year-2023" display="https://humantraffickinghotline.org/en/statistics/virginia - year-2023" xr:uid="{977E8058-343C-4FB3-B269-4BB27EF632D4}"/>
    <hyperlink ref="B53" r:id="rId52" location="year-2023" display="https://humantraffickinghotline.org/en/statistics/washington - year-2023" xr:uid="{9ADBAD1B-815C-41EA-85E5-AD13B69E58F8}"/>
    <hyperlink ref="B54" r:id="rId53" location="year-2023" display="https://humantraffickinghotline.org/en/statistics/west-virginia - year-2023" xr:uid="{A0B4FF9D-E00E-4BD7-9363-38693D0A3E0D}"/>
    <hyperlink ref="B55" r:id="rId54" location="year-2023" display="https://humantraffickinghotline.org/en/statistics/wisconsin - year-2023" xr:uid="{2D3FF908-60E1-4F12-9598-700481B51164}"/>
    <hyperlink ref="B56" r:id="rId55" location="year-2023" display="https://humantraffickinghotline.org/en/statistics/wyoming - year-2023" xr:uid="{0C043ADA-9414-49CD-B450-FCD1EA38DBD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86E8-BC08-4518-9C45-E3848B31DA50}">
  <dimension ref="A1:L59"/>
  <sheetViews>
    <sheetView topLeftCell="A8" workbookViewId="0">
      <selection activeCell="Q28" sqref="Q28"/>
    </sheetView>
  </sheetViews>
  <sheetFormatPr defaultRowHeight="14.4" x14ac:dyDescent="0.3"/>
  <cols>
    <col min="7" max="7" width="9.88671875" bestFit="1" customWidth="1"/>
  </cols>
  <sheetData>
    <row r="1" spans="1:12" ht="72" x14ac:dyDescent="0.3"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126</v>
      </c>
      <c r="H1" s="2" t="s">
        <v>128</v>
      </c>
      <c r="I1" s="12" t="s">
        <v>129</v>
      </c>
      <c r="J1" s="2" t="str">
        <f>"Difference from proportional (" &amp; TEXT(100/COUNTIF(I$2:I$56,"&lt;&gt;0"),"0.00") &amp; "%)"</f>
        <v>Difference from proportional (1.92%)</v>
      </c>
      <c r="L1" t="s">
        <v>130</v>
      </c>
    </row>
    <row r="2" spans="1:12" x14ac:dyDescent="0.3">
      <c r="A2" s="10" t="s">
        <v>75</v>
      </c>
      <c r="B2" s="4" t="s">
        <v>20</v>
      </c>
      <c r="C2" s="3">
        <v>411</v>
      </c>
      <c r="D2" s="6">
        <v>1.0999999999999999E-2</v>
      </c>
      <c r="E2" s="3">
        <v>86</v>
      </c>
      <c r="F2" s="6">
        <v>9.5999999999999992E-3</v>
      </c>
      <c r="G2" s="9">
        <v>5076181</v>
      </c>
      <c r="H2">
        <f>E2/G2</f>
        <v>1.6941870276099296E-5</v>
      </c>
      <c r="I2" s="13">
        <f>H2/SUM(H$2:H$56)</f>
        <v>1.3693867215912345E-2</v>
      </c>
      <c r="J2" s="5">
        <f>I2-(1/COUNTIF(I$2:I$56,"&lt;&gt;0"))</f>
        <v>-5.5369020148568864E-3</v>
      </c>
      <c r="L2">
        <f>1000000*I2</f>
        <v>13693.867215912345</v>
      </c>
    </row>
    <row r="3" spans="1:12" x14ac:dyDescent="0.3">
      <c r="A3" s="10" t="s">
        <v>76</v>
      </c>
      <c r="B3" s="4" t="s">
        <v>21</v>
      </c>
      <c r="C3" s="3">
        <v>82</v>
      </c>
      <c r="D3" s="6">
        <v>2.2000000000000001E-3</v>
      </c>
      <c r="E3" s="3">
        <v>27</v>
      </c>
      <c r="F3" s="6">
        <v>3.0000000000000001E-3</v>
      </c>
      <c r="G3" s="9">
        <v>734442</v>
      </c>
      <c r="H3">
        <f t="shared" ref="H3:H55" si="0">E3/G3</f>
        <v>3.6762603445881363E-5</v>
      </c>
      <c r="I3" s="13">
        <f t="shared" ref="I3:I55" si="1">H3/SUM(H$2:H$56)</f>
        <v>2.9714677417247301E-2</v>
      </c>
      <c r="J3" s="5">
        <f t="shared" ref="J3:J55" si="2">I3-(1/COUNTIF(I$2:I$56,"&lt;&gt;0"))</f>
        <v>1.0483908186478069E-2</v>
      </c>
      <c r="L3">
        <f t="shared" ref="L3:L55" si="3">1000000*I3</f>
        <v>29714.677417247301</v>
      </c>
    </row>
    <row r="4" spans="1:12" x14ac:dyDescent="0.3">
      <c r="A4" s="10" t="s">
        <v>77</v>
      </c>
      <c r="B4" s="4" t="s">
        <v>22</v>
      </c>
      <c r="C4" s="3">
        <v>572</v>
      </c>
      <c r="D4" s="6">
        <v>1.54E-2</v>
      </c>
      <c r="E4" s="3">
        <v>214</v>
      </c>
      <c r="F4" s="6">
        <v>2.3900000000000001E-2</v>
      </c>
      <c r="G4" s="9">
        <v>7377566</v>
      </c>
      <c r="H4">
        <f t="shared" si="0"/>
        <v>2.9006856732965857E-5</v>
      </c>
      <c r="I4" s="13">
        <f t="shared" si="1"/>
        <v>2.3445820206320377E-2</v>
      </c>
      <c r="J4" s="5">
        <f t="shared" si="2"/>
        <v>4.2150509755511448E-3</v>
      </c>
      <c r="L4">
        <f t="shared" si="3"/>
        <v>23445.820206320375</v>
      </c>
    </row>
    <row r="5" spans="1:12" x14ac:dyDescent="0.3">
      <c r="A5" s="10" t="s">
        <v>78</v>
      </c>
      <c r="B5" s="4" t="s">
        <v>23</v>
      </c>
      <c r="C5" s="3">
        <v>183</v>
      </c>
      <c r="D5" s="6">
        <v>4.8999999999999998E-3</v>
      </c>
      <c r="E5" s="3">
        <v>59</v>
      </c>
      <c r="F5" s="6">
        <v>6.6E-3</v>
      </c>
      <c r="G5" s="9">
        <v>3047704</v>
      </c>
      <c r="H5">
        <f t="shared" si="0"/>
        <v>1.9358835372463993E-5</v>
      </c>
      <c r="I5" s="13">
        <f t="shared" si="1"/>
        <v>1.5647464933031294E-2</v>
      </c>
      <c r="J5" s="5">
        <f t="shared" si="2"/>
        <v>-3.5833042977379374E-3</v>
      </c>
      <c r="L5">
        <f t="shared" si="3"/>
        <v>15647.464933031295</v>
      </c>
    </row>
    <row r="6" spans="1:12" x14ac:dyDescent="0.3">
      <c r="A6" s="10" t="s">
        <v>79</v>
      </c>
      <c r="B6" s="4" t="s">
        <v>24</v>
      </c>
      <c r="C6" s="3">
        <v>3926</v>
      </c>
      <c r="D6" s="6">
        <v>0.1055</v>
      </c>
      <c r="E6" s="3">
        <v>1213</v>
      </c>
      <c r="F6" s="6">
        <v>0.1353</v>
      </c>
      <c r="G6" s="9">
        <v>39142414</v>
      </c>
      <c r="H6">
        <f t="shared" si="0"/>
        <v>3.0989401931112373E-5</v>
      </c>
      <c r="I6" s="13">
        <f t="shared" si="1"/>
        <v>2.5048282641135674E-2</v>
      </c>
      <c r="J6" s="5">
        <f t="shared" si="2"/>
        <v>5.8175134103664421E-3</v>
      </c>
      <c r="L6">
        <f t="shared" si="3"/>
        <v>25048.282641135673</v>
      </c>
    </row>
    <row r="7" spans="1:12" x14ac:dyDescent="0.3">
      <c r="A7" s="10" t="s">
        <v>80</v>
      </c>
      <c r="B7" s="4" t="s">
        <v>25</v>
      </c>
      <c r="C7" s="3">
        <v>518</v>
      </c>
      <c r="D7" s="6">
        <v>1.3899999999999999E-2</v>
      </c>
      <c r="E7" s="3">
        <v>141</v>
      </c>
      <c r="F7" s="6">
        <v>1.5699999999999999E-2</v>
      </c>
      <c r="G7" s="9">
        <v>5850935</v>
      </c>
      <c r="H7">
        <f t="shared" si="0"/>
        <v>2.4098712428013642E-5</v>
      </c>
      <c r="I7" s="13">
        <f t="shared" si="1"/>
        <v>1.9478638585093442E-2</v>
      </c>
      <c r="J7" s="5">
        <f t="shared" si="2"/>
        <v>2.4786935432421012E-4</v>
      </c>
      <c r="L7">
        <f t="shared" si="3"/>
        <v>19478.638585093442</v>
      </c>
    </row>
    <row r="8" spans="1:12" ht="28.8" x14ac:dyDescent="0.3">
      <c r="A8" s="10" t="s">
        <v>81</v>
      </c>
      <c r="B8" s="4" t="s">
        <v>26</v>
      </c>
      <c r="C8" s="3">
        <v>139</v>
      </c>
      <c r="D8" s="6">
        <v>3.7000000000000002E-3</v>
      </c>
      <c r="E8" s="3">
        <v>57</v>
      </c>
      <c r="F8" s="6">
        <v>6.4000000000000003E-3</v>
      </c>
      <c r="G8" s="9">
        <v>3617925</v>
      </c>
      <c r="H8">
        <f t="shared" si="0"/>
        <v>1.5754887124525798E-5</v>
      </c>
      <c r="I8" s="13">
        <f t="shared" si="1"/>
        <v>1.2734446006785071E-2</v>
      </c>
      <c r="J8" s="5">
        <f t="shared" si="2"/>
        <v>-6.4963232239841611E-3</v>
      </c>
      <c r="L8">
        <f t="shared" si="3"/>
        <v>12734.44600678507</v>
      </c>
    </row>
    <row r="9" spans="1:12" x14ac:dyDescent="0.3">
      <c r="A9" s="10" t="s">
        <v>82</v>
      </c>
      <c r="B9" s="4" t="s">
        <v>27</v>
      </c>
      <c r="C9" s="3">
        <v>59</v>
      </c>
      <c r="D9" s="6">
        <v>1.6000000000000001E-3</v>
      </c>
      <c r="E9" s="3">
        <v>28</v>
      </c>
      <c r="F9" s="6">
        <v>3.0999999999999999E-3</v>
      </c>
      <c r="G9" s="9">
        <v>1020625</v>
      </c>
      <c r="H9">
        <f t="shared" si="0"/>
        <v>2.743417023882425E-5</v>
      </c>
      <c r="I9" s="13">
        <f t="shared" si="1"/>
        <v>2.2174640597926374E-2</v>
      </c>
      <c r="J9" s="5">
        <f t="shared" si="2"/>
        <v>2.9438713671571422E-3</v>
      </c>
      <c r="L9">
        <f t="shared" si="3"/>
        <v>22174.640597926373</v>
      </c>
    </row>
    <row r="10" spans="1:12" ht="28.8" x14ac:dyDescent="0.3">
      <c r="A10" s="10" t="s">
        <v>83</v>
      </c>
      <c r="B10" s="4" t="s">
        <v>28</v>
      </c>
      <c r="C10" s="3">
        <v>143</v>
      </c>
      <c r="D10" s="6">
        <v>3.8E-3</v>
      </c>
      <c r="E10" s="3">
        <v>50</v>
      </c>
      <c r="F10" s="6">
        <v>5.5999999999999999E-3</v>
      </c>
      <c r="G10" s="9">
        <v>676725</v>
      </c>
      <c r="H10">
        <f t="shared" si="0"/>
        <v>7.3885256197125866E-5</v>
      </c>
      <c r="I10" s="13">
        <f t="shared" si="1"/>
        <v>5.9720377448791204E-2</v>
      </c>
      <c r="J10" s="5">
        <f t="shared" si="2"/>
        <v>4.0489608218021972E-2</v>
      </c>
      <c r="L10">
        <f t="shared" si="3"/>
        <v>59720.377448791201</v>
      </c>
    </row>
    <row r="11" spans="1:12" x14ac:dyDescent="0.3">
      <c r="A11" s="10" t="s">
        <v>84</v>
      </c>
      <c r="B11" s="4" t="s">
        <v>29</v>
      </c>
      <c r="C11" s="3">
        <v>1959</v>
      </c>
      <c r="D11" s="6">
        <v>5.2699999999999997E-2</v>
      </c>
      <c r="E11" s="3">
        <v>623</v>
      </c>
      <c r="F11" s="6">
        <v>6.9500000000000006E-2</v>
      </c>
      <c r="G11" s="9">
        <v>22379312</v>
      </c>
      <c r="H11">
        <f t="shared" si="0"/>
        <v>2.7838210575910465E-5</v>
      </c>
      <c r="I11" s="13">
        <f t="shared" si="1"/>
        <v>2.250122052303279E-2</v>
      </c>
      <c r="J11" s="5">
        <f t="shared" si="2"/>
        <v>3.2704512922635577E-3</v>
      </c>
      <c r="L11">
        <f t="shared" si="3"/>
        <v>22501.220523032789</v>
      </c>
    </row>
    <row r="12" spans="1:12" x14ac:dyDescent="0.3">
      <c r="A12" s="10" t="s">
        <v>85</v>
      </c>
      <c r="B12" s="4" t="s">
        <v>30</v>
      </c>
      <c r="C12" s="3">
        <v>746</v>
      </c>
      <c r="D12" s="6">
        <v>2.01E-2</v>
      </c>
      <c r="E12" s="3">
        <v>248</v>
      </c>
      <c r="F12" s="6">
        <v>2.7699999999999999E-2</v>
      </c>
      <c r="G12" s="9">
        <v>10931805</v>
      </c>
      <c r="H12">
        <f t="shared" si="0"/>
        <v>2.2686098041448782E-5</v>
      </c>
      <c r="I12" s="13">
        <f t="shared" si="1"/>
        <v>1.8336842931977362E-2</v>
      </c>
      <c r="J12" s="5">
        <f t="shared" si="2"/>
        <v>-8.9392629879186947E-4</v>
      </c>
      <c r="L12">
        <f t="shared" si="3"/>
        <v>18336.842931977364</v>
      </c>
    </row>
    <row r="13" spans="1:12" x14ac:dyDescent="0.3">
      <c r="A13" s="10" t="s">
        <v>86</v>
      </c>
      <c r="B13" s="4" t="s">
        <v>32</v>
      </c>
      <c r="C13" s="3">
        <v>145</v>
      </c>
      <c r="D13" s="6">
        <v>3.8999999999999998E-3</v>
      </c>
      <c r="E13" s="3">
        <v>36</v>
      </c>
      <c r="F13" s="6">
        <v>4.0000000000000001E-3</v>
      </c>
      <c r="G13" s="9">
        <v>1440359</v>
      </c>
      <c r="H13">
        <f t="shared" si="0"/>
        <v>2.4993768914555331E-5</v>
      </c>
      <c r="I13" s="13">
        <f t="shared" si="1"/>
        <v>2.0202099718822822E-2</v>
      </c>
      <c r="J13" s="5">
        <f t="shared" si="2"/>
        <v>9.7133048805359001E-4</v>
      </c>
      <c r="L13">
        <f t="shared" si="3"/>
        <v>20202.099718822821</v>
      </c>
    </row>
    <row r="14" spans="1:12" x14ac:dyDescent="0.3">
      <c r="A14" s="10" t="s">
        <v>87</v>
      </c>
      <c r="B14" s="4" t="s">
        <v>33</v>
      </c>
      <c r="C14" s="3">
        <v>97</v>
      </c>
      <c r="D14" s="6">
        <v>2.5999999999999999E-3</v>
      </c>
      <c r="E14" s="3">
        <v>25</v>
      </c>
      <c r="F14" s="6">
        <v>2.8E-3</v>
      </c>
      <c r="G14" s="9">
        <v>1944299</v>
      </c>
      <c r="H14">
        <f t="shared" si="0"/>
        <v>1.2858104643370181E-5</v>
      </c>
      <c r="I14" s="13">
        <f t="shared" si="1"/>
        <v>1.0393018879563592E-2</v>
      </c>
      <c r="J14" s="5">
        <f t="shared" si="2"/>
        <v>-8.8377503512056393E-3</v>
      </c>
      <c r="L14">
        <f t="shared" si="3"/>
        <v>10393.018879563593</v>
      </c>
    </row>
    <row r="15" spans="1:12" x14ac:dyDescent="0.3">
      <c r="A15" s="10" t="s">
        <v>88</v>
      </c>
      <c r="B15" s="4" t="s">
        <v>34</v>
      </c>
      <c r="C15" s="3">
        <v>698</v>
      </c>
      <c r="D15" s="6">
        <v>1.8800000000000001E-2</v>
      </c>
      <c r="E15" s="3">
        <v>235</v>
      </c>
      <c r="F15" s="6">
        <v>2.6200000000000001E-2</v>
      </c>
      <c r="G15" s="9">
        <v>12621821</v>
      </c>
      <c r="H15">
        <f t="shared" si="0"/>
        <v>1.8618549573789709E-5</v>
      </c>
      <c r="I15" s="13">
        <f t="shared" si="1"/>
        <v>1.5049102694171954E-2</v>
      </c>
      <c r="J15" s="5">
        <f t="shared" si="2"/>
        <v>-4.1816665365972776E-3</v>
      </c>
      <c r="L15">
        <f t="shared" si="3"/>
        <v>15049.102694171954</v>
      </c>
    </row>
    <row r="16" spans="1:12" x14ac:dyDescent="0.3">
      <c r="A16" s="10" t="s">
        <v>89</v>
      </c>
      <c r="B16" s="4" t="s">
        <v>35</v>
      </c>
      <c r="C16" s="3">
        <v>296</v>
      </c>
      <c r="D16" s="6">
        <v>8.0000000000000002E-3</v>
      </c>
      <c r="E16" s="3">
        <v>106</v>
      </c>
      <c r="F16" s="6">
        <v>1.18E-2</v>
      </c>
      <c r="G16" s="9">
        <v>6844545</v>
      </c>
      <c r="H16">
        <f t="shared" si="0"/>
        <v>1.5486785461999299E-5</v>
      </c>
      <c r="I16" s="13">
        <f t="shared" si="1"/>
        <v>1.2517743334224616E-2</v>
      </c>
      <c r="J16" s="5">
        <f t="shared" si="2"/>
        <v>-6.7130258965446155E-3</v>
      </c>
      <c r="L16">
        <f t="shared" si="3"/>
        <v>12517.743334224617</v>
      </c>
    </row>
    <row r="17" spans="1:12" x14ac:dyDescent="0.3">
      <c r="A17" s="10" t="s">
        <v>90</v>
      </c>
      <c r="B17" s="4" t="s">
        <v>36</v>
      </c>
      <c r="C17" s="3">
        <v>276</v>
      </c>
      <c r="D17" s="6">
        <v>7.4000000000000003E-3</v>
      </c>
      <c r="E17" s="3">
        <v>69</v>
      </c>
      <c r="F17" s="6">
        <v>7.7000000000000002E-3</v>
      </c>
      <c r="G17" s="9">
        <v>3202820</v>
      </c>
      <c r="H17">
        <f t="shared" si="0"/>
        <v>2.1543514777602239E-5</v>
      </c>
      <c r="I17" s="13">
        <f t="shared" si="1"/>
        <v>1.7413309506018399E-2</v>
      </c>
      <c r="J17" s="5">
        <f t="shared" si="2"/>
        <v>-1.8174597247508327E-3</v>
      </c>
      <c r="L17">
        <f t="shared" si="3"/>
        <v>17413.309506018399</v>
      </c>
    </row>
    <row r="18" spans="1:12" x14ac:dyDescent="0.3">
      <c r="A18" s="10" t="s">
        <v>91</v>
      </c>
      <c r="B18" s="4" t="s">
        <v>37</v>
      </c>
      <c r="C18" s="3">
        <v>182</v>
      </c>
      <c r="D18" s="6">
        <v>4.8999999999999998E-3</v>
      </c>
      <c r="E18" s="3">
        <v>77</v>
      </c>
      <c r="F18" s="6">
        <v>8.6E-3</v>
      </c>
      <c r="G18" s="9">
        <v>2937324</v>
      </c>
      <c r="H18">
        <f t="shared" si="0"/>
        <v>2.6214336586634639E-5</v>
      </c>
      <c r="I18" s="13">
        <f t="shared" si="1"/>
        <v>2.1188666807172504E-2</v>
      </c>
      <c r="J18" s="5">
        <f t="shared" si="2"/>
        <v>1.9578975764032724E-3</v>
      </c>
      <c r="L18">
        <f t="shared" si="3"/>
        <v>21188.666807172503</v>
      </c>
    </row>
    <row r="19" spans="1:12" x14ac:dyDescent="0.3">
      <c r="A19" s="10" t="s">
        <v>92</v>
      </c>
      <c r="B19" s="4" t="s">
        <v>38</v>
      </c>
      <c r="C19" s="3">
        <v>226</v>
      </c>
      <c r="D19" s="6">
        <v>6.1000000000000004E-3</v>
      </c>
      <c r="E19" s="3">
        <v>89</v>
      </c>
      <c r="F19" s="6">
        <v>9.9000000000000008E-3</v>
      </c>
      <c r="G19" s="9">
        <v>4519233</v>
      </c>
      <c r="H19">
        <f t="shared" si="0"/>
        <v>1.9693607300176821E-5</v>
      </c>
      <c r="I19" s="13">
        <f t="shared" si="1"/>
        <v>1.5918056210794871E-2</v>
      </c>
      <c r="J19" s="5">
        <f t="shared" si="2"/>
        <v>-3.3127130199743608E-3</v>
      </c>
      <c r="L19">
        <f t="shared" si="3"/>
        <v>15918.056210794872</v>
      </c>
    </row>
    <row r="20" spans="1:12" x14ac:dyDescent="0.3">
      <c r="A20" s="10" t="s">
        <v>93</v>
      </c>
      <c r="B20" s="4" t="s">
        <v>39</v>
      </c>
      <c r="C20" s="3">
        <v>269</v>
      </c>
      <c r="D20" s="6">
        <v>7.1999999999999998E-3</v>
      </c>
      <c r="E20" s="3">
        <v>104</v>
      </c>
      <c r="F20" s="6">
        <v>1.1599999999999999E-2</v>
      </c>
      <c r="G20" s="9">
        <v>4593687</v>
      </c>
      <c r="H20">
        <f t="shared" si="0"/>
        <v>2.2639766270536065E-5</v>
      </c>
      <c r="I20" s="13">
        <f t="shared" si="1"/>
        <v>1.829939363574164E-2</v>
      </c>
      <c r="J20" s="5">
        <f t="shared" si="2"/>
        <v>-9.3137559502759135E-4</v>
      </c>
      <c r="L20">
        <f t="shared" si="3"/>
        <v>18299.393635741639</v>
      </c>
    </row>
    <row r="21" spans="1:12" x14ac:dyDescent="0.3">
      <c r="A21" s="10" t="s">
        <v>94</v>
      </c>
      <c r="B21" s="4" t="s">
        <v>40</v>
      </c>
      <c r="C21" s="3">
        <v>80</v>
      </c>
      <c r="D21" s="6">
        <v>2.2000000000000001E-3</v>
      </c>
      <c r="E21" s="3">
        <v>19</v>
      </c>
      <c r="F21" s="6">
        <v>2.0999999999999999E-3</v>
      </c>
      <c r="G21" s="9">
        <v>1390922</v>
      </c>
      <c r="H21">
        <f t="shared" si="0"/>
        <v>1.3660003939832716E-5</v>
      </c>
      <c r="I21" s="13">
        <f t="shared" si="1"/>
        <v>1.1041182412121332E-2</v>
      </c>
      <c r="J21" s="5">
        <f t="shared" si="2"/>
        <v>-8.1895868186478999E-3</v>
      </c>
      <c r="L21">
        <f t="shared" si="3"/>
        <v>11041.182412121332</v>
      </c>
    </row>
    <row r="22" spans="1:12" x14ac:dyDescent="0.3">
      <c r="A22" s="10" t="s">
        <v>95</v>
      </c>
      <c r="B22" s="4" t="s">
        <v>41</v>
      </c>
      <c r="C22" s="3">
        <v>651</v>
      </c>
      <c r="D22" s="6">
        <v>1.7500000000000002E-2</v>
      </c>
      <c r="E22" s="3">
        <v>144</v>
      </c>
      <c r="F22" s="6">
        <v>1.61E-2</v>
      </c>
      <c r="G22" s="9">
        <v>6192440</v>
      </c>
      <c r="H22">
        <f t="shared" si="0"/>
        <v>2.3254161525989756E-5</v>
      </c>
      <c r="I22" s="13">
        <f t="shared" si="1"/>
        <v>1.879600038040186E-2</v>
      </c>
      <c r="J22" s="5">
        <f t="shared" si="2"/>
        <v>-4.3476885036737231E-4</v>
      </c>
      <c r="L22">
        <f t="shared" si="3"/>
        <v>18796.00038040186</v>
      </c>
    </row>
    <row r="23" spans="1:12" s="20" customFormat="1" ht="28.8" x14ac:dyDescent="0.3">
      <c r="A23" s="14" t="s">
        <v>96</v>
      </c>
      <c r="B23" s="15" t="s">
        <v>42</v>
      </c>
      <c r="C23" s="16">
        <v>229</v>
      </c>
      <c r="D23" s="17">
        <v>6.1999999999999998E-3</v>
      </c>
      <c r="E23" s="16">
        <v>72</v>
      </c>
      <c r="F23" s="17">
        <v>8.0000000000000002E-3</v>
      </c>
      <c r="G23" s="18">
        <v>7022468</v>
      </c>
      <c r="H23" s="20">
        <f t="shared" si="0"/>
        <v>1.0252805708762218E-5</v>
      </c>
      <c r="I23" s="19">
        <f t="shared" si="1"/>
        <v>8.287193661517268E-3</v>
      </c>
      <c r="J23" s="21">
        <f t="shared" si="2"/>
        <v>-1.0943575569251964E-2</v>
      </c>
      <c r="L23" s="20">
        <f t="shared" si="3"/>
        <v>8287.1936615172672</v>
      </c>
    </row>
    <row r="24" spans="1:12" x14ac:dyDescent="0.3">
      <c r="A24" s="10" t="s">
        <v>97</v>
      </c>
      <c r="B24" s="4" t="s">
        <v>43</v>
      </c>
      <c r="C24" s="3">
        <v>749</v>
      </c>
      <c r="D24" s="6">
        <v>2.01E-2</v>
      </c>
      <c r="E24" s="3">
        <v>259</v>
      </c>
      <c r="F24" s="6">
        <v>2.8899999999999999E-2</v>
      </c>
      <c r="G24" s="9">
        <v>10050877</v>
      </c>
      <c r="H24">
        <f t="shared" si="0"/>
        <v>2.5768895589907229E-5</v>
      </c>
      <c r="I24" s="13">
        <f t="shared" si="1"/>
        <v>2.0828623331316472E-2</v>
      </c>
      <c r="J24" s="5">
        <f t="shared" si="2"/>
        <v>1.5978541005472399E-3</v>
      </c>
      <c r="L24">
        <f t="shared" si="3"/>
        <v>20828.62333131647</v>
      </c>
    </row>
    <row r="25" spans="1:12" ht="28.8" x14ac:dyDescent="0.3">
      <c r="A25" s="10" t="s">
        <v>98</v>
      </c>
      <c r="B25" s="4" t="s">
        <v>44</v>
      </c>
      <c r="C25" s="3">
        <v>231</v>
      </c>
      <c r="D25" s="6">
        <v>6.1999999999999998E-3</v>
      </c>
      <c r="E25" s="3">
        <v>73</v>
      </c>
      <c r="F25" s="6">
        <v>8.0999999999999996E-3</v>
      </c>
      <c r="G25" s="9">
        <v>5721621</v>
      </c>
      <c r="H25">
        <f t="shared" si="0"/>
        <v>1.2758622075806839E-5</v>
      </c>
      <c r="I25" s="13">
        <f t="shared" si="1"/>
        <v>1.0312608567814699E-2</v>
      </c>
      <c r="J25" s="5">
        <f t="shared" si="2"/>
        <v>-8.9181606629545329E-3</v>
      </c>
      <c r="L25">
        <f t="shared" si="3"/>
        <v>10312.608567814699</v>
      </c>
    </row>
    <row r="26" spans="1:12" ht="28.8" x14ac:dyDescent="0.3">
      <c r="A26" s="10" t="s">
        <v>99</v>
      </c>
      <c r="B26" s="4" t="s">
        <v>45</v>
      </c>
      <c r="C26" s="3">
        <v>332</v>
      </c>
      <c r="D26" s="6">
        <v>8.8999999999999999E-3</v>
      </c>
      <c r="E26" s="3">
        <v>169</v>
      </c>
      <c r="F26" s="6">
        <v>1.8800000000000001E-2</v>
      </c>
      <c r="G26" s="9">
        <v>2941939</v>
      </c>
      <c r="H26">
        <f t="shared" si="0"/>
        <v>5.74451067816158E-5</v>
      </c>
      <c r="I26" s="13">
        <f t="shared" si="1"/>
        <v>4.6432043903742497E-2</v>
      </c>
      <c r="J26" s="5">
        <f t="shared" si="2"/>
        <v>2.7201274672973265E-2</v>
      </c>
      <c r="L26">
        <f t="shared" si="3"/>
        <v>46432.043903742495</v>
      </c>
    </row>
    <row r="27" spans="1:12" x14ac:dyDescent="0.3">
      <c r="A27" s="10" t="s">
        <v>100</v>
      </c>
      <c r="B27" s="4" t="s">
        <v>46</v>
      </c>
      <c r="C27" s="3">
        <v>851</v>
      </c>
      <c r="D27" s="6">
        <v>2.29E-2</v>
      </c>
      <c r="E27" s="3">
        <v>238</v>
      </c>
      <c r="F27" s="6">
        <v>2.6499999999999999E-2</v>
      </c>
      <c r="G27" s="9">
        <v>6179414</v>
      </c>
      <c r="H27">
        <f t="shared" si="0"/>
        <v>3.8514978928422662E-5</v>
      </c>
      <c r="I27" s="13">
        <f t="shared" si="1"/>
        <v>3.1131097020234953E-2</v>
      </c>
      <c r="J27" s="5">
        <f t="shared" si="2"/>
        <v>1.1900327789465721E-2</v>
      </c>
      <c r="L27">
        <f t="shared" si="3"/>
        <v>31131.097020234953</v>
      </c>
    </row>
    <row r="28" spans="1:12" x14ac:dyDescent="0.3">
      <c r="A28" s="10" t="s">
        <v>101</v>
      </c>
      <c r="B28" s="4" t="s">
        <v>47</v>
      </c>
      <c r="C28" s="3">
        <v>120</v>
      </c>
      <c r="D28" s="6">
        <v>3.2000000000000002E-3</v>
      </c>
      <c r="E28" s="3">
        <v>30</v>
      </c>
      <c r="F28" s="6">
        <v>3.3E-3</v>
      </c>
      <c r="G28" s="9">
        <v>1122095</v>
      </c>
      <c r="H28">
        <f t="shared" si="0"/>
        <v>2.6735704196168775E-5</v>
      </c>
      <c r="I28" s="13">
        <f t="shared" si="1"/>
        <v>2.1610080659320231E-2</v>
      </c>
      <c r="J28" s="5">
        <f t="shared" si="2"/>
        <v>2.3793114285509988E-3</v>
      </c>
      <c r="L28">
        <f t="shared" si="3"/>
        <v>21610.080659320232</v>
      </c>
    </row>
    <row r="29" spans="1:12" x14ac:dyDescent="0.3">
      <c r="A29" s="10" t="s">
        <v>102</v>
      </c>
      <c r="B29" s="4" t="s">
        <v>48</v>
      </c>
      <c r="C29" s="3">
        <v>135</v>
      </c>
      <c r="D29" s="6">
        <v>3.5999999999999999E-3</v>
      </c>
      <c r="E29" s="3">
        <v>47</v>
      </c>
      <c r="F29" s="6">
        <v>5.1999999999999998E-3</v>
      </c>
      <c r="G29" s="9">
        <v>1972246</v>
      </c>
      <c r="H29">
        <f t="shared" si="0"/>
        <v>2.3830698604535133E-5</v>
      </c>
      <c r="I29" s="13">
        <f t="shared" si="1"/>
        <v>1.9262006911557297E-2</v>
      </c>
      <c r="J29" s="5">
        <f t="shared" si="2"/>
        <v>3.1237680788064742E-5</v>
      </c>
      <c r="L29">
        <f t="shared" si="3"/>
        <v>19262.006911557295</v>
      </c>
    </row>
    <row r="30" spans="1:12" x14ac:dyDescent="0.3">
      <c r="A30" s="10" t="s">
        <v>103</v>
      </c>
      <c r="B30" s="4" t="s">
        <v>49</v>
      </c>
      <c r="C30" s="3">
        <v>437</v>
      </c>
      <c r="D30" s="6">
        <v>1.17E-2</v>
      </c>
      <c r="E30" s="3">
        <v>198</v>
      </c>
      <c r="F30" s="6">
        <v>2.2100000000000002E-2</v>
      </c>
      <c r="G30" s="9">
        <v>3176116</v>
      </c>
      <c r="H30">
        <f t="shared" si="0"/>
        <v>6.2340292357080157E-5</v>
      </c>
      <c r="I30" s="13">
        <f t="shared" si="1"/>
        <v>5.0388751172492308E-2</v>
      </c>
      <c r="J30" s="5">
        <f t="shared" si="2"/>
        <v>3.1157981941723076E-2</v>
      </c>
      <c r="L30">
        <f t="shared" si="3"/>
        <v>50388.75117249231</v>
      </c>
    </row>
    <row r="31" spans="1:12" ht="43.2" x14ac:dyDescent="0.3">
      <c r="A31" s="10" t="s">
        <v>104</v>
      </c>
      <c r="B31" s="4" t="s">
        <v>50</v>
      </c>
      <c r="C31" s="3">
        <v>59</v>
      </c>
      <c r="D31" s="6">
        <v>1.6000000000000001E-3</v>
      </c>
      <c r="E31" s="3">
        <v>26</v>
      </c>
      <c r="F31" s="6">
        <v>2.8999999999999998E-3</v>
      </c>
      <c r="G31" s="9">
        <v>1396678</v>
      </c>
      <c r="H31">
        <f t="shared" si="0"/>
        <v>1.8615600732595488E-5</v>
      </c>
      <c r="I31" s="13">
        <f t="shared" si="1"/>
        <v>1.5046719188744491E-2</v>
      </c>
      <c r="J31" s="5">
        <f t="shared" si="2"/>
        <v>-4.1840500420247412E-3</v>
      </c>
      <c r="L31">
        <f t="shared" si="3"/>
        <v>15046.719188744491</v>
      </c>
    </row>
    <row r="32" spans="1:12" ht="28.8" x14ac:dyDescent="0.3">
      <c r="A32" s="10" t="s">
        <v>105</v>
      </c>
      <c r="B32" s="4" t="s">
        <v>51</v>
      </c>
      <c r="C32" s="3">
        <v>451</v>
      </c>
      <c r="D32" s="6">
        <v>1.21E-2</v>
      </c>
      <c r="E32" s="3">
        <v>146</v>
      </c>
      <c r="F32" s="6">
        <v>1.6299999999999999E-2</v>
      </c>
      <c r="G32" s="9">
        <v>9295227</v>
      </c>
      <c r="H32">
        <f t="shared" si="0"/>
        <v>1.5706985961719924E-5</v>
      </c>
      <c r="I32" s="13">
        <f t="shared" si="1"/>
        <v>1.2695728193918988E-2</v>
      </c>
      <c r="J32" s="5">
        <f t="shared" si="2"/>
        <v>-6.5350410368502435E-3</v>
      </c>
      <c r="L32">
        <f t="shared" si="3"/>
        <v>12695.728193918989</v>
      </c>
    </row>
    <row r="33" spans="1:12" ht="28.8" x14ac:dyDescent="0.3">
      <c r="A33" s="10" t="s">
        <v>106</v>
      </c>
      <c r="B33" s="4" t="s">
        <v>52</v>
      </c>
      <c r="C33" s="3">
        <v>181</v>
      </c>
      <c r="D33" s="6">
        <v>4.8999999999999998E-3</v>
      </c>
      <c r="E33" s="3">
        <v>54</v>
      </c>
      <c r="F33" s="6">
        <v>6.0000000000000001E-3</v>
      </c>
      <c r="G33" s="9">
        <v>2113868</v>
      </c>
      <c r="H33">
        <f t="shared" si="0"/>
        <v>2.5545587520128976E-5</v>
      </c>
      <c r="I33" s="13">
        <f t="shared" si="1"/>
        <v>2.0648126667964076E-2</v>
      </c>
      <c r="J33" s="5">
        <f t="shared" si="2"/>
        <v>1.4173574371948439E-3</v>
      </c>
      <c r="L33">
        <f t="shared" si="3"/>
        <v>20648.126667964076</v>
      </c>
    </row>
    <row r="34" spans="1:12" x14ac:dyDescent="0.3">
      <c r="A34" s="10" t="s">
        <v>107</v>
      </c>
      <c r="B34" s="4" t="s">
        <v>53</v>
      </c>
      <c r="C34" s="3">
        <v>1228</v>
      </c>
      <c r="D34" s="6">
        <v>3.3000000000000002E-2</v>
      </c>
      <c r="E34" s="3">
        <v>359</v>
      </c>
      <c r="F34" s="6">
        <v>0.04</v>
      </c>
      <c r="G34" s="9">
        <v>19703747</v>
      </c>
      <c r="H34">
        <f t="shared" si="0"/>
        <v>1.8219884776230633E-5</v>
      </c>
      <c r="I34" s="13">
        <f t="shared" si="1"/>
        <v>1.4726867739443598E-2</v>
      </c>
      <c r="J34" s="5">
        <f t="shared" si="2"/>
        <v>-4.5039014913256341E-3</v>
      </c>
      <c r="L34">
        <f t="shared" si="3"/>
        <v>14726.867739443598</v>
      </c>
    </row>
    <row r="35" spans="1:12" ht="28.8" x14ac:dyDescent="0.3">
      <c r="A35" s="10" t="s">
        <v>108</v>
      </c>
      <c r="B35" s="4" t="s">
        <v>54</v>
      </c>
      <c r="C35" s="3">
        <v>888</v>
      </c>
      <c r="D35" s="6">
        <v>2.3900000000000001E-2</v>
      </c>
      <c r="E35" s="3">
        <v>224</v>
      </c>
      <c r="F35" s="6">
        <v>2.5000000000000001E-2</v>
      </c>
      <c r="G35" s="9">
        <v>10710793</v>
      </c>
      <c r="H35">
        <f t="shared" si="0"/>
        <v>2.0913484183664087E-5</v>
      </c>
      <c r="I35" s="13">
        <f t="shared" si="1"/>
        <v>1.6904064944777558E-2</v>
      </c>
      <c r="J35" s="5">
        <f t="shared" si="2"/>
        <v>-2.3267042859916737E-3</v>
      </c>
      <c r="L35">
        <f t="shared" si="3"/>
        <v>16904.064944777558</v>
      </c>
    </row>
    <row r="36" spans="1:12" ht="28.8" x14ac:dyDescent="0.3">
      <c r="A36" s="10" t="s">
        <v>109</v>
      </c>
      <c r="B36" s="4" t="s">
        <v>55</v>
      </c>
      <c r="C36" s="3">
        <v>59</v>
      </c>
      <c r="D36" s="6">
        <v>1.6000000000000001E-3</v>
      </c>
      <c r="E36" s="3">
        <v>19</v>
      </c>
      <c r="F36" s="6">
        <v>2.0999999999999999E-3</v>
      </c>
      <c r="G36" s="9">
        <v>781057</v>
      </c>
      <c r="H36">
        <f t="shared" si="0"/>
        <v>2.4326009497386236E-5</v>
      </c>
      <c r="I36" s="13">
        <f t="shared" si="1"/>
        <v>1.9662359498772337E-2</v>
      </c>
      <c r="J36" s="5">
        <f t="shared" si="2"/>
        <v>4.3159026800310488E-4</v>
      </c>
      <c r="L36">
        <f t="shared" si="3"/>
        <v>19662.359498772337</v>
      </c>
    </row>
    <row r="37" spans="1:12" ht="43.2" x14ac:dyDescent="0.3">
      <c r="A37" s="11"/>
      <c r="B37" s="4" t="s">
        <v>56</v>
      </c>
      <c r="C37" s="3">
        <v>0</v>
      </c>
      <c r="D37" s="6">
        <v>0</v>
      </c>
      <c r="E37" s="3">
        <v>0</v>
      </c>
      <c r="F37" s="6">
        <v>0</v>
      </c>
      <c r="G37" s="9"/>
      <c r="I37" s="13">
        <f t="shared" si="1"/>
        <v>0</v>
      </c>
      <c r="J37" s="5">
        <f t="shared" si="2"/>
        <v>-1.9230769230769232E-2</v>
      </c>
      <c r="L37">
        <f t="shared" si="3"/>
        <v>0</v>
      </c>
    </row>
    <row r="38" spans="1:12" x14ac:dyDescent="0.3">
      <c r="A38" s="10" t="s">
        <v>110</v>
      </c>
      <c r="B38" s="4" t="s">
        <v>57</v>
      </c>
      <c r="C38" s="3">
        <v>802</v>
      </c>
      <c r="D38" s="6">
        <v>2.1600000000000001E-2</v>
      </c>
      <c r="E38" s="3">
        <v>273</v>
      </c>
      <c r="F38" s="6">
        <v>3.04E-2</v>
      </c>
      <c r="G38" s="9">
        <v>11777874</v>
      </c>
      <c r="H38">
        <f t="shared" si="0"/>
        <v>2.3179055914505454E-5</v>
      </c>
      <c r="I38" s="13">
        <f t="shared" si="1"/>
        <v>1.8735293607532344E-2</v>
      </c>
      <c r="J38" s="5">
        <f t="shared" si="2"/>
        <v>-4.9547562323688787E-4</v>
      </c>
      <c r="L38">
        <f t="shared" si="3"/>
        <v>18735.293607532345</v>
      </c>
    </row>
    <row r="39" spans="1:12" ht="28.8" x14ac:dyDescent="0.3">
      <c r="A39" s="10" t="s">
        <v>111</v>
      </c>
      <c r="B39" s="4" t="s">
        <v>58</v>
      </c>
      <c r="C39" s="3">
        <v>337</v>
      </c>
      <c r="D39" s="6">
        <v>9.1000000000000004E-3</v>
      </c>
      <c r="E39" s="3">
        <v>84</v>
      </c>
      <c r="F39" s="6">
        <v>9.4000000000000004E-3</v>
      </c>
      <c r="G39" s="9">
        <v>4026229</v>
      </c>
      <c r="H39">
        <f t="shared" si="0"/>
        <v>2.0863194815794132E-5</v>
      </c>
      <c r="I39" s="13">
        <f t="shared" si="1"/>
        <v>1.6863416780509954E-2</v>
      </c>
      <c r="J39" s="5">
        <f t="shared" si="2"/>
        <v>-2.3673524502592774E-3</v>
      </c>
      <c r="L39">
        <f t="shared" si="3"/>
        <v>16863.416780509953</v>
      </c>
    </row>
    <row r="40" spans="1:12" x14ac:dyDescent="0.3">
      <c r="A40" s="10" t="s">
        <v>112</v>
      </c>
      <c r="B40" s="4" t="s">
        <v>59</v>
      </c>
      <c r="C40" s="3">
        <v>437</v>
      </c>
      <c r="D40" s="6">
        <v>1.17E-2</v>
      </c>
      <c r="E40" s="3">
        <v>146</v>
      </c>
      <c r="F40" s="6">
        <v>1.6299999999999999E-2</v>
      </c>
      <c r="G40" s="9">
        <v>4247372</v>
      </c>
      <c r="H40">
        <f t="shared" si="0"/>
        <v>3.4374196562015288E-5</v>
      </c>
      <c r="I40" s="13">
        <f t="shared" si="1"/>
        <v>2.7784162887728461E-2</v>
      </c>
      <c r="J40" s="5">
        <f t="shared" si="2"/>
        <v>8.5533936569592295E-3</v>
      </c>
      <c r="L40">
        <f t="shared" si="3"/>
        <v>27784.16288772846</v>
      </c>
    </row>
    <row r="41" spans="1:12" ht="28.8" x14ac:dyDescent="0.3">
      <c r="A41" s="10" t="s">
        <v>113</v>
      </c>
      <c r="B41" s="4" t="s">
        <v>60</v>
      </c>
      <c r="C41" s="3">
        <v>787</v>
      </c>
      <c r="D41" s="6">
        <v>2.12E-2</v>
      </c>
      <c r="E41" s="3">
        <v>194</v>
      </c>
      <c r="F41" s="6">
        <v>2.1600000000000001E-2</v>
      </c>
      <c r="G41" s="9">
        <v>12984990</v>
      </c>
      <c r="H41">
        <f t="shared" si="0"/>
        <v>1.4940327254776476E-5</v>
      </c>
      <c r="I41" s="13">
        <f t="shared" si="1"/>
        <v>1.2076049117068931E-2</v>
      </c>
      <c r="J41" s="5">
        <f t="shared" si="2"/>
        <v>-7.1547201137003007E-3</v>
      </c>
      <c r="L41">
        <f t="shared" si="3"/>
        <v>12076.049117068931</v>
      </c>
    </row>
    <row r="42" spans="1:12" ht="28.8" x14ac:dyDescent="0.3">
      <c r="A42" s="11"/>
      <c r="B42" s="4" t="s">
        <v>61</v>
      </c>
      <c r="C42" s="3">
        <v>11</v>
      </c>
      <c r="D42" s="6">
        <v>2.9999999999999997E-4</v>
      </c>
      <c r="E42" s="3">
        <v>5</v>
      </c>
      <c r="F42" s="6">
        <v>5.9999999999999995E-4</v>
      </c>
      <c r="G42" s="9"/>
      <c r="I42" s="13">
        <f t="shared" si="1"/>
        <v>0</v>
      </c>
      <c r="J42" s="5">
        <f t="shared" si="2"/>
        <v>-1.9230769230769232E-2</v>
      </c>
      <c r="L42">
        <f t="shared" si="3"/>
        <v>0</v>
      </c>
    </row>
    <row r="43" spans="1:12" ht="28.8" x14ac:dyDescent="0.3">
      <c r="A43" s="10" t="s">
        <v>114</v>
      </c>
      <c r="B43" s="4" t="s">
        <v>62</v>
      </c>
      <c r="C43" s="3">
        <v>27</v>
      </c>
      <c r="D43" s="6">
        <v>6.9999999999999999E-4</v>
      </c>
      <c r="E43" s="3">
        <v>8</v>
      </c>
      <c r="F43" s="6">
        <v>8.9999999999999998E-4</v>
      </c>
      <c r="G43" s="9">
        <v>1099498</v>
      </c>
      <c r="H43">
        <f t="shared" si="0"/>
        <v>7.2760477963579744E-6</v>
      </c>
      <c r="I43" s="13">
        <f t="shared" si="1"/>
        <v>5.8811235569735604E-3</v>
      </c>
      <c r="J43" s="5">
        <f t="shared" si="2"/>
        <v>-1.3349645673795672E-2</v>
      </c>
      <c r="L43">
        <f t="shared" si="3"/>
        <v>5881.12355697356</v>
      </c>
    </row>
    <row r="44" spans="1:12" ht="28.8" x14ac:dyDescent="0.3">
      <c r="A44" s="10" t="s">
        <v>115</v>
      </c>
      <c r="B44" s="4" t="s">
        <v>63</v>
      </c>
      <c r="C44" s="3">
        <v>312</v>
      </c>
      <c r="D44" s="6">
        <v>8.3999999999999995E-3</v>
      </c>
      <c r="E44" s="3">
        <v>101</v>
      </c>
      <c r="F44" s="6">
        <v>1.1299999999999999E-2</v>
      </c>
      <c r="G44" s="9">
        <v>5287935</v>
      </c>
      <c r="H44">
        <f t="shared" si="0"/>
        <v>1.9100083491949126E-5</v>
      </c>
      <c r="I44" s="13">
        <f t="shared" si="1"/>
        <v>1.5438319553218244E-2</v>
      </c>
      <c r="J44" s="5">
        <f t="shared" si="2"/>
        <v>-3.7924496775509874E-3</v>
      </c>
      <c r="L44">
        <f t="shared" si="3"/>
        <v>15438.319553218245</v>
      </c>
    </row>
    <row r="45" spans="1:12" ht="28.8" x14ac:dyDescent="0.3">
      <c r="A45" s="10" t="s">
        <v>116</v>
      </c>
      <c r="B45" s="4" t="s">
        <v>64</v>
      </c>
      <c r="C45" s="3">
        <v>102</v>
      </c>
      <c r="D45" s="6">
        <v>2.7000000000000001E-3</v>
      </c>
      <c r="E45" s="3">
        <v>25</v>
      </c>
      <c r="F45" s="6">
        <v>2.8E-3</v>
      </c>
      <c r="G45" s="9">
        <v>909723</v>
      </c>
      <c r="H45">
        <f t="shared" si="0"/>
        <v>2.7480892535420122E-5</v>
      </c>
      <c r="I45" s="13">
        <f t="shared" si="1"/>
        <v>2.2212405550389086E-2</v>
      </c>
      <c r="J45" s="5">
        <f t="shared" si="2"/>
        <v>2.9816363196198542E-3</v>
      </c>
      <c r="L45">
        <f t="shared" si="3"/>
        <v>22212.405550389085</v>
      </c>
    </row>
    <row r="46" spans="1:12" ht="28.8" x14ac:dyDescent="0.3">
      <c r="A46" s="10" t="s">
        <v>117</v>
      </c>
      <c r="B46" s="4" t="s">
        <v>65</v>
      </c>
      <c r="C46" s="3">
        <v>388</v>
      </c>
      <c r="D46" s="6">
        <v>1.04E-2</v>
      </c>
      <c r="E46" s="3">
        <v>138</v>
      </c>
      <c r="F46" s="6">
        <v>1.54E-2</v>
      </c>
      <c r="G46" s="9">
        <v>7062217</v>
      </c>
      <c r="H46">
        <f t="shared" si="0"/>
        <v>1.9540606016495953E-5</v>
      </c>
      <c r="I46" s="13">
        <f t="shared" si="1"/>
        <v>1.5794387499581463E-2</v>
      </c>
      <c r="J46" s="5">
        <f t="shared" si="2"/>
        <v>-3.4363817311877688E-3</v>
      </c>
      <c r="L46">
        <f t="shared" si="3"/>
        <v>15794.387499581462</v>
      </c>
    </row>
    <row r="47" spans="1:12" x14ac:dyDescent="0.3">
      <c r="A47" s="10" t="s">
        <v>118</v>
      </c>
      <c r="B47" s="4" t="s">
        <v>66</v>
      </c>
      <c r="C47" s="3">
        <v>2859</v>
      </c>
      <c r="D47" s="6">
        <v>7.6899999999999996E-2</v>
      </c>
      <c r="E47" s="3">
        <v>933</v>
      </c>
      <c r="F47" s="6">
        <v>0.104</v>
      </c>
      <c r="G47" s="9">
        <v>30113488</v>
      </c>
      <c r="H47">
        <f t="shared" si="0"/>
        <v>3.0982794155230376E-5</v>
      </c>
      <c r="I47" s="13">
        <f t="shared" si="1"/>
        <v>2.5042941672042775E-2</v>
      </c>
      <c r="J47" s="5">
        <f t="shared" si="2"/>
        <v>5.8121724412735429E-3</v>
      </c>
      <c r="L47">
        <f t="shared" si="3"/>
        <v>25042.941672042776</v>
      </c>
    </row>
    <row r="48" spans="1:12" ht="43.2" x14ac:dyDescent="0.3">
      <c r="A48" s="11"/>
      <c r="B48" s="4" t="s">
        <v>67</v>
      </c>
      <c r="C48" s="3">
        <v>7</v>
      </c>
      <c r="D48" s="6">
        <v>2.0000000000000001E-4</v>
      </c>
      <c r="E48" s="3">
        <v>3</v>
      </c>
      <c r="F48" s="6">
        <v>2.9999999999999997E-4</v>
      </c>
      <c r="G48" s="9"/>
      <c r="I48" s="13">
        <f t="shared" si="1"/>
        <v>0</v>
      </c>
      <c r="J48" s="5">
        <f t="shared" si="2"/>
        <v>-1.9230769230769232E-2</v>
      </c>
      <c r="L48">
        <f t="shared" si="3"/>
        <v>0</v>
      </c>
    </row>
    <row r="49" spans="1:12" x14ac:dyDescent="0.3">
      <c r="A49" s="10" t="s">
        <v>119</v>
      </c>
      <c r="B49" s="4" t="s">
        <v>68</v>
      </c>
      <c r="C49" s="3">
        <v>264</v>
      </c>
      <c r="D49" s="6">
        <v>7.1000000000000004E-3</v>
      </c>
      <c r="E49" s="3">
        <v>93</v>
      </c>
      <c r="F49" s="6">
        <v>1.04E-2</v>
      </c>
      <c r="G49" s="9">
        <v>3391011</v>
      </c>
      <c r="H49">
        <f t="shared" si="0"/>
        <v>2.7425449224434838E-5</v>
      </c>
      <c r="I49" s="13">
        <f t="shared" si="1"/>
        <v>2.216759152889855E-2</v>
      </c>
      <c r="J49" s="5">
        <f t="shared" si="2"/>
        <v>2.9368222981293185E-3</v>
      </c>
      <c r="L49">
        <f t="shared" si="3"/>
        <v>22167.591528898549</v>
      </c>
    </row>
    <row r="50" spans="1:12" x14ac:dyDescent="0.3">
      <c r="A50" s="10" t="s">
        <v>120</v>
      </c>
      <c r="B50" s="4" t="s">
        <v>69</v>
      </c>
      <c r="C50" s="3">
        <v>32</v>
      </c>
      <c r="D50" s="6">
        <v>8.9999999999999998E-4</v>
      </c>
      <c r="E50" s="3">
        <v>3</v>
      </c>
      <c r="F50" s="6">
        <v>2.9999999999999997E-4</v>
      </c>
      <c r="G50" s="9">
        <v>648142</v>
      </c>
      <c r="H50">
        <f t="shared" si="0"/>
        <v>4.628615334294028E-6</v>
      </c>
      <c r="I50" s="13">
        <f t="shared" si="1"/>
        <v>3.7412424217871908E-3</v>
      </c>
      <c r="J50" s="5">
        <f t="shared" si="2"/>
        <v>-1.5489526808982041E-2</v>
      </c>
      <c r="L50">
        <f t="shared" si="3"/>
        <v>3741.2424217871908</v>
      </c>
    </row>
    <row r="51" spans="1:12" x14ac:dyDescent="0.3">
      <c r="A51" s="10" t="s">
        <v>121</v>
      </c>
      <c r="B51" s="4" t="s">
        <v>70</v>
      </c>
      <c r="C51" s="3">
        <v>547</v>
      </c>
      <c r="D51" s="6">
        <v>1.47E-2</v>
      </c>
      <c r="E51" s="3">
        <v>149</v>
      </c>
      <c r="F51" s="6">
        <v>1.66E-2</v>
      </c>
      <c r="G51" s="9">
        <v>8683414</v>
      </c>
      <c r="H51">
        <f t="shared" si="0"/>
        <v>1.7159149615577468E-5</v>
      </c>
      <c r="I51" s="13">
        <f t="shared" si="1"/>
        <v>1.386949094428977E-2</v>
      </c>
      <c r="J51" s="5">
        <f t="shared" si="2"/>
        <v>-5.3612782864794623E-3</v>
      </c>
      <c r="L51">
        <f t="shared" si="3"/>
        <v>13869.49094428977</v>
      </c>
    </row>
    <row r="52" spans="1:12" ht="28.8" x14ac:dyDescent="0.3">
      <c r="A52" s="10" t="s">
        <v>122</v>
      </c>
      <c r="B52" s="4" t="s">
        <v>71</v>
      </c>
      <c r="C52" s="3">
        <v>577</v>
      </c>
      <c r="D52" s="6">
        <v>1.55E-2</v>
      </c>
      <c r="E52" s="3">
        <v>204</v>
      </c>
      <c r="F52" s="6">
        <v>2.2700000000000001E-2</v>
      </c>
      <c r="G52" s="9">
        <v>7794123</v>
      </c>
      <c r="H52">
        <f t="shared" si="0"/>
        <v>2.6173566929852146E-5</v>
      </c>
      <c r="I52" s="13">
        <f t="shared" si="1"/>
        <v>2.1155713286851587E-2</v>
      </c>
      <c r="J52" s="5">
        <f t="shared" si="2"/>
        <v>1.9249440560823554E-3</v>
      </c>
      <c r="L52">
        <f t="shared" si="3"/>
        <v>21155.713286851587</v>
      </c>
    </row>
    <row r="53" spans="1:12" ht="28.8" x14ac:dyDescent="0.3">
      <c r="A53" s="10" t="s">
        <v>123</v>
      </c>
      <c r="B53" s="4" t="s">
        <v>72</v>
      </c>
      <c r="C53" s="3">
        <v>89</v>
      </c>
      <c r="D53" s="6">
        <v>2.3999999999999998E-3</v>
      </c>
      <c r="E53" s="3">
        <v>25</v>
      </c>
      <c r="F53" s="6">
        <v>2.8E-3</v>
      </c>
      <c r="G53" s="9">
        <v>1774122</v>
      </c>
      <c r="H53">
        <f t="shared" si="0"/>
        <v>1.4091477361759789E-5</v>
      </c>
      <c r="I53" s="13">
        <f t="shared" si="1"/>
        <v>1.1389936100514289E-2</v>
      </c>
      <c r="J53" s="5">
        <f t="shared" si="2"/>
        <v>-7.8408331302549424E-3</v>
      </c>
      <c r="L53">
        <f t="shared" si="3"/>
        <v>11389.936100514289</v>
      </c>
    </row>
    <row r="54" spans="1:12" ht="28.8" x14ac:dyDescent="0.3">
      <c r="A54" s="10" t="s">
        <v>124</v>
      </c>
      <c r="B54" s="4" t="s">
        <v>73</v>
      </c>
      <c r="C54" s="3">
        <v>310</v>
      </c>
      <c r="D54" s="6">
        <v>8.3000000000000001E-3</v>
      </c>
      <c r="E54" s="3">
        <v>105</v>
      </c>
      <c r="F54" s="6">
        <v>1.17E-2</v>
      </c>
      <c r="G54" s="9">
        <v>5903975</v>
      </c>
      <c r="H54">
        <f t="shared" si="0"/>
        <v>1.7784628153066367E-5</v>
      </c>
      <c r="I54" s="13">
        <f t="shared" si="1"/>
        <v>1.4375056144541563E-2</v>
      </c>
      <c r="J54" s="5">
        <f t="shared" si="2"/>
        <v>-4.8557130862276685E-3</v>
      </c>
      <c r="L54">
        <f t="shared" si="3"/>
        <v>14375.056144541564</v>
      </c>
    </row>
    <row r="55" spans="1:12" x14ac:dyDescent="0.3">
      <c r="A55" s="10" t="s">
        <v>125</v>
      </c>
      <c r="B55" s="4" t="s">
        <v>74</v>
      </c>
      <c r="C55" s="3">
        <v>55</v>
      </c>
      <c r="D55" s="6">
        <v>1.5E-3</v>
      </c>
      <c r="E55" s="3">
        <v>16</v>
      </c>
      <c r="F55" s="6">
        <v>1.8E-3</v>
      </c>
      <c r="G55" s="9">
        <v>581978</v>
      </c>
      <c r="H55">
        <f t="shared" si="0"/>
        <v>2.7492448168143812E-5</v>
      </c>
      <c r="I55" s="13">
        <f t="shared" si="1"/>
        <v>2.222174580016879E-2</v>
      </c>
      <c r="J55" s="5">
        <f t="shared" si="2"/>
        <v>2.9909765693995581E-3</v>
      </c>
      <c r="L55">
        <f t="shared" si="3"/>
        <v>22221.745800168788</v>
      </c>
    </row>
    <row r="56" spans="1:12" x14ac:dyDescent="0.3">
      <c r="A56" s="10"/>
      <c r="I56" s="13"/>
      <c r="J56" s="5"/>
    </row>
    <row r="57" spans="1:12" x14ac:dyDescent="0.3">
      <c r="A57" s="10"/>
    </row>
    <row r="58" spans="1:12" x14ac:dyDescent="0.3">
      <c r="A58" s="10"/>
    </row>
    <row r="59" spans="1:12" x14ac:dyDescent="0.3">
      <c r="A59" s="10"/>
    </row>
  </sheetData>
  <hyperlinks>
    <hyperlink ref="B2" r:id="rId1" location="year-2022" display="https://humantraffickinghotline.org/en/statistics/alabama - year-2022" xr:uid="{33286B9B-BBBE-4815-87B1-14F9505729FD}"/>
    <hyperlink ref="B3" r:id="rId2" location="year-2022" display="https://humantraffickinghotline.org/en/statistics/alaska - year-2022" xr:uid="{4B3C4499-E4B9-4258-94E7-AA9F6D0ADD3E}"/>
    <hyperlink ref="B4" r:id="rId3" location="year-2022" display="https://humantraffickinghotline.org/en/statistics/arizona - year-2022" xr:uid="{5E448D3A-9FDD-4EA3-8EDC-CDCCF0C70036}"/>
    <hyperlink ref="B5" r:id="rId4" location="year-2022" display="https://humantraffickinghotline.org/en/statistics/arkansas - year-2022" xr:uid="{C64DF516-91B2-4E34-822F-4B9DF7A4FEFA}"/>
    <hyperlink ref="B6" r:id="rId5" location="year-2022" display="https://humantraffickinghotline.org/en/statistics/california - year-2022" xr:uid="{F9728E60-AA41-4633-8049-8C561BF3883D}"/>
    <hyperlink ref="B7" r:id="rId6" location="year-2022" display="https://humantraffickinghotline.org/en/statistics/colorado - year-2022" xr:uid="{41A6249C-41CF-408C-9641-1A41571A3D5A}"/>
    <hyperlink ref="B8" r:id="rId7" location="year-2022" display="https://humantraffickinghotline.org/en/statistics/connecticut - year-2022" xr:uid="{83E3130E-50C3-4ABE-811D-75A58E89444B}"/>
    <hyperlink ref="B9" r:id="rId8" location="year-2022" display="https://humantraffickinghotline.org/en/statistics/delaware - year-2022" xr:uid="{4754B92D-0AFB-43D6-B911-FAD08630950D}"/>
    <hyperlink ref="B10" r:id="rId9" location="year-2022" display="https://humantraffickinghotline.org/en/statistics/district-columbia - year-2022" xr:uid="{8C7C3CD0-1A1D-4C04-8761-0A93CF2547B7}"/>
    <hyperlink ref="B11" r:id="rId10" location="year-2022" display="https://humantraffickinghotline.org/en/statistics/florida - year-2022" xr:uid="{07CF87AD-4975-4B5B-A5BF-BA2B54C9D200}"/>
    <hyperlink ref="B12" r:id="rId11" location="year-2022" display="https://humantraffickinghotline.org/en/statistics/georgia - year-2022" xr:uid="{7916635C-5BE3-41B2-8EE2-4823EE34AD6F}"/>
    <hyperlink ref="B13" r:id="rId12" location="year-2022" display="https://humantraffickinghotline.org/en/statistics/hawaii - year-2022" xr:uid="{6DE61D42-CF13-48C3-B84A-E38E67C929FF}"/>
    <hyperlink ref="B14" r:id="rId13" location="year-2022" display="https://humantraffickinghotline.org/en/statistics/idaho - year-2022" xr:uid="{DD5B06CA-D56F-48FA-A1C6-4F6783BAE267}"/>
    <hyperlink ref="B15" r:id="rId14" location="year-2022" display="https://humantraffickinghotline.org/en/statistics/illinois - year-2022" xr:uid="{F787C446-E0AE-4A8F-834E-A5FFDB2BA5B0}"/>
    <hyperlink ref="B16" r:id="rId15" location="year-2022" display="https://humantraffickinghotline.org/en/statistics/indiana - year-2022" xr:uid="{FEB372A6-E312-43C2-A0B0-1B5615CDD7E3}"/>
    <hyperlink ref="B17" r:id="rId16" location="year-2022" display="https://humantraffickinghotline.org/en/statistics/iowa - year-2022" xr:uid="{233E53B6-79EE-4E86-8F6D-EEF4E53B30E1}"/>
    <hyperlink ref="B18" r:id="rId17" location="year-2022" display="https://humantraffickinghotline.org/en/statistics/kansas - year-2022" xr:uid="{E7D7CE1D-8D9C-4C89-8E91-C511F1EE56BC}"/>
    <hyperlink ref="B19" r:id="rId18" location="year-2022" display="https://humantraffickinghotline.org/en/statistics/kentucky - year-2022" xr:uid="{AC43934C-8E3D-4A5F-9D5A-F77D4DD46765}"/>
    <hyperlink ref="B20" r:id="rId19" location="year-2022" display="https://humantraffickinghotline.org/en/statistics/louisiana - year-2022" xr:uid="{8E892ABD-37B0-4079-B6E6-ACDDF2F053C8}"/>
    <hyperlink ref="B21" r:id="rId20" location="year-2022" display="https://humantraffickinghotline.org/en/statistics/maine - year-2022" xr:uid="{EE4437BB-362F-4954-81D9-590AF76066A5}"/>
    <hyperlink ref="B22" r:id="rId21" location="year-2022" display="https://humantraffickinghotline.org/en/statistics/maryland - year-2022" xr:uid="{AEC08A00-CC7D-4D63-83EF-3FDFD1041962}"/>
    <hyperlink ref="B23" r:id="rId22" location="year-2022" display="https://humantraffickinghotline.org/en/statistics/massachusetts - year-2022" xr:uid="{66E7D477-982C-48D6-B82B-AD413B6CCDB3}"/>
    <hyperlink ref="B24" r:id="rId23" location="year-2022" display="https://humantraffickinghotline.org/en/statistics/michigan - year-2022" xr:uid="{83A2AE51-C90D-47C3-98E4-F6B82C5030B5}"/>
    <hyperlink ref="B25" r:id="rId24" location="year-2022" display="https://humantraffickinghotline.org/en/statistics/minnesota - year-2022" xr:uid="{1949493D-4052-4B6C-A73A-B257E28BF8AA}"/>
    <hyperlink ref="B26" r:id="rId25" location="year-2022" display="https://humantraffickinghotline.org/en/statistics/mississippi - year-2022" xr:uid="{7EBFD985-AA19-48C8-BA3F-8FC706AE6EB1}"/>
    <hyperlink ref="B27" r:id="rId26" location="year-2022" display="https://humantraffickinghotline.org/en/statistics/missouri - year-2022" xr:uid="{BF44777E-E3C2-41E0-900A-B4871B5B5495}"/>
    <hyperlink ref="B28" r:id="rId27" location="year-2022" display="https://humantraffickinghotline.org/en/statistics/montana - year-2022" xr:uid="{3EEFA0B4-E75F-42AE-86B6-15EFA8AF37E1}"/>
    <hyperlink ref="B29" r:id="rId28" location="year-2022" display="https://humantraffickinghotline.org/en/statistics/nebraska - year-2022" xr:uid="{80B2BE25-FE2E-4BF3-ADA4-E097B4FF6537}"/>
    <hyperlink ref="B30" r:id="rId29" location="year-2022" display="https://humantraffickinghotline.org/en/statistics/nevada - year-2022" xr:uid="{64FA69C8-76D7-4F28-83BB-4EFC43BAFA35}"/>
    <hyperlink ref="B31" r:id="rId30" location="year-2022" display="https://humantraffickinghotline.org/en/statistics/new-hampshire - year-2022" xr:uid="{91D0EAFF-6237-4FC1-8005-4BD9F1A2DD06}"/>
    <hyperlink ref="B32" r:id="rId31" location="year-2022" display="https://humantraffickinghotline.org/en/statistics/new-jersey - year-2022" xr:uid="{451615FD-8099-4CBA-B1F6-F46063824A4F}"/>
    <hyperlink ref="B33" r:id="rId32" location="year-2022" display="https://humantraffickinghotline.org/en/statistics/new-mexico - year-2022" xr:uid="{6DC9D36E-95E2-4337-8460-4262E198C801}"/>
    <hyperlink ref="B34" r:id="rId33" location="year-2022" display="https://humantraffickinghotline.org/en/statistics/new-york - year-2022" xr:uid="{5AA46DCB-2D5A-498B-80CA-A3CA31906949}"/>
    <hyperlink ref="B35" r:id="rId34" location="year-2022" display="https://humantraffickinghotline.org/en/statistics/north-carolina - year-2022" xr:uid="{0D6304CB-702C-432B-9331-A7696CC0CF39}"/>
    <hyperlink ref="B36" r:id="rId35" location="year-2022" display="https://humantraffickinghotline.org/en/statistics/north-dakota - year-2022" xr:uid="{D4A7598C-8135-4744-846F-FAF29ED4EEE5}"/>
    <hyperlink ref="B37" r:id="rId36" location="year-2022" display="https://humantraffickinghotline.org/en/statistics/northern-marianas-islands - year-2022" xr:uid="{974651B6-6C99-4348-AB2A-021ED4D37EF5}"/>
    <hyperlink ref="B38" r:id="rId37" location="year-2022" display="https://humantraffickinghotline.org/en/statistics/ohio - year-2022" xr:uid="{9E2EF8D8-5DCF-4D74-B883-6007DD6EFF73}"/>
    <hyperlink ref="B39" r:id="rId38" location="year-2022" display="https://humantraffickinghotline.org/en/statistics/oklahoma - year-2022" xr:uid="{90BD6112-3ADF-47B4-8A81-EFB48A07BDB1}"/>
    <hyperlink ref="B40" r:id="rId39" location="year-2022" display="https://humantraffickinghotline.org/en/statistics/oregon - year-2022" xr:uid="{F380FCEC-6651-46EC-810C-D7400EA8BD98}"/>
    <hyperlink ref="B41" r:id="rId40" location="year-2022" display="https://humantraffickinghotline.org/en/statistics/pennsylvania - year-2022" xr:uid="{441D6F82-617F-4EE7-898E-2F5A35629C3F}"/>
    <hyperlink ref="B42" r:id="rId41" location="year-2022" display="https://humantraffickinghotline.org/en/statistics/puerto-rico - year-2022" xr:uid="{C1A02159-676C-4546-A99E-A7ECF3B5590A}"/>
    <hyperlink ref="B43" r:id="rId42" location="year-2022" display="https://humantraffickinghotline.org/en/statistics/rhode-island - year-2022" xr:uid="{8E8FFE53-82B8-44B8-8DE8-38647B41532F}"/>
    <hyperlink ref="B44" r:id="rId43" location="year-2022" display="https://humantraffickinghotline.org/en/statistics/south-carolina - year-2022" xr:uid="{11B334FE-FFE7-44C4-910C-DABE1C8337F0}"/>
    <hyperlink ref="B45" r:id="rId44" location="year-2022" display="https://humantraffickinghotline.org/en/statistics/south-dakota - year-2022" xr:uid="{F0475FA2-5B95-4AEA-9D6C-8F7C6A3DFEFF}"/>
    <hyperlink ref="B46" r:id="rId45" location="year-2022" display="https://humantraffickinghotline.org/en/statistics/tennessee - year-2022" xr:uid="{28EB2D93-6C28-4E2B-B3D5-2A4CE7EDC25B}"/>
    <hyperlink ref="B47" r:id="rId46" location="year-2022" display="https://humantraffickinghotline.org/en/statistics/texas - year-2022" xr:uid="{150DCE8C-06B5-4C87-AEC4-BA51F95F3F06}"/>
    <hyperlink ref="B48" r:id="rId47" location="year-2022" display="https://humantraffickinghotline.org/en/statistics/us-virgin-islands - year-2022" xr:uid="{C9DE55F4-2CDC-4E13-87EF-CBBC67008899}"/>
    <hyperlink ref="B49" r:id="rId48" location="year-2022" display="https://humantraffickinghotline.org/en/statistics/utah - year-2022" xr:uid="{C58BD0B8-1421-439A-ABA9-B5F006208B3F}"/>
    <hyperlink ref="B50" r:id="rId49" location="year-2022" display="https://humantraffickinghotline.org/en/statistics/vermont - year-2022" xr:uid="{6F600923-6E38-497A-B20F-7C92974CD248}"/>
    <hyperlink ref="B51" r:id="rId50" location="year-2022" display="https://humantraffickinghotline.org/en/statistics/virginia - year-2022" xr:uid="{28265706-4647-423C-B688-35ADFA6648AD}"/>
    <hyperlink ref="B52" r:id="rId51" location="year-2022" display="https://humantraffickinghotline.org/en/statistics/washington - year-2022" xr:uid="{9AC76FC5-FE10-4E5E-B992-7FA9E301D440}"/>
    <hyperlink ref="B53" r:id="rId52" location="year-2022" display="https://humantraffickinghotline.org/en/statistics/west-virginia - year-2022" xr:uid="{021A48AE-6909-47E9-8C94-E734FC29146D}"/>
    <hyperlink ref="B54" r:id="rId53" location="year-2022" display="https://humantraffickinghotline.org/en/statistics/wisconsin - year-2022" xr:uid="{34062A4A-8075-4645-95EB-EB8728525435}"/>
    <hyperlink ref="B55" r:id="rId54" location="year-2022" display="https://humantraffickinghotline.org/en/statistics/wyoming - year-2022" xr:uid="{2710C5F2-7B9A-45A2-AE1F-34ED16932EC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dca5ef-62c2-464e-a56d-dbf5ed1edcca" xsi:nil="true"/>
    <lcf76f155ced4ddcb4097134ff3c332f xmlns="760bce6b-528b-4cc4-b07c-9ce8a6c5b3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C2D246B4F3B4787486362723EC9D3" ma:contentTypeVersion="11" ma:contentTypeDescription="Create a new document." ma:contentTypeScope="" ma:versionID="5366a31f3ed1b687a1c894b017b3118e">
  <xsd:schema xmlns:xsd="http://www.w3.org/2001/XMLSchema" xmlns:xs="http://www.w3.org/2001/XMLSchema" xmlns:p="http://schemas.microsoft.com/office/2006/metadata/properties" xmlns:ns2="760bce6b-528b-4cc4-b07c-9ce8a6c5b317" xmlns:ns3="a6dca5ef-62c2-464e-a56d-dbf5ed1edcca" targetNamespace="http://schemas.microsoft.com/office/2006/metadata/properties" ma:root="true" ma:fieldsID="e70aed4bf81648309473387a44a407f1" ns2:_="" ns3:_="">
    <xsd:import namespace="760bce6b-528b-4cc4-b07c-9ce8a6c5b317"/>
    <xsd:import namespace="a6dca5ef-62c2-464e-a56d-dbf5ed1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bce6b-528b-4cc4-b07c-9ce8a6c5b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3238c4-78d8-42fc-b672-424354f4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ca5ef-62c2-464e-a56d-dbf5ed1edc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10b68-60c9-442c-a38f-940914ffbceb}" ma:internalName="TaxCatchAll" ma:showField="CatchAllData" ma:web="a6dca5ef-62c2-464e-a56d-dbf5ed1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426FA-72ED-4AED-9988-23AE34EA6288}">
  <ds:schemaRefs>
    <ds:schemaRef ds:uri="http://schemas.microsoft.com/office/2006/metadata/properties"/>
    <ds:schemaRef ds:uri="http://schemas.microsoft.com/office/infopath/2007/PartnerControls"/>
    <ds:schemaRef ds:uri="a6dca5ef-62c2-464e-a56d-dbf5ed1edcca"/>
    <ds:schemaRef ds:uri="760bce6b-528b-4cc4-b07c-9ce8a6c5b317"/>
  </ds:schemaRefs>
</ds:datastoreItem>
</file>

<file path=customXml/itemProps2.xml><?xml version="1.0" encoding="utf-8"?>
<ds:datastoreItem xmlns:ds="http://schemas.openxmlformats.org/officeDocument/2006/customXml" ds:itemID="{6D178F67-3FE4-4900-8C95-250A3749D7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9D5C4E-BE8C-43A1-9944-26A1368F8D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bce6b-528b-4cc4-b07c-9ce8a6c5b317"/>
    <ds:schemaRef ds:uri="a6dca5ef-62c2-464e-a56d-dbf5ed1ed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</vt:lpstr>
      <vt:lpstr>Supply</vt:lpstr>
      <vt:lpstr>TraffickingHotline24</vt:lpstr>
      <vt:lpstr>TraffickingHotline23</vt:lpstr>
      <vt:lpstr>TraffickingHotline22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Maayan</dc:creator>
  <cp:lastModifiedBy>Gabe Maayan</cp:lastModifiedBy>
  <dcterms:created xsi:type="dcterms:W3CDTF">2025-09-18T15:01:31Z</dcterms:created>
  <dcterms:modified xsi:type="dcterms:W3CDTF">2026-03-11T14:55:35Z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0x010100AC4C2D246B4F3B4787486362723EC9D3</vt:lpwstr>
  </property>
  <property fmtid="{D5CDD505-2E9C-101B-9397-08002B2CF9AE}" pid="3" name="MediaServiceImageTags">
    <vt:lpwstr/>
  </property>
</Properties>
</file>